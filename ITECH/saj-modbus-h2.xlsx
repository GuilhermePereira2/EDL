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<sst xmlns="http://schemas.openxmlformats.org/spreadsheetml/2006/main" count="1107" uniqueCount="561">
  <si>
    <t xml:space="preserve"> Address Dez</t>
  </si>
  <si>
    <t xml:space="preserve">Address Hex</t>
  </si>
  <si>
    <t xml:space="preserve">Size</t>
  </si>
  <si>
    <t xml:space="preserve">Register Name</t>
  </si>
  <si>
    <t xml:space="preserve">Data Type</t>
  </si>
  <si>
    <t xml:space="preserve">Ratio</t>
  </si>
  <si>
    <t xml:space="preserve">Unit</t>
  </si>
  <si>
    <t xml:space="preserve">Attribute</t>
  </si>
  <si>
    <t xml:space="preserve">Register description</t>
  </si>
  <si>
    <t xml:space="preserve">Notes</t>
  </si>
  <si>
    <t xml:space="preserve">MPVMode</t>
  </si>
  <si>
    <t xml:space="preserve">Uint16</t>
  </si>
  <si>
    <t xml:space="preserve">R</t>
  </si>
  <si>
    <t xml:space="preserve">Inverter working mode</t>
  </si>
  <si>
    <t xml:space="preserve">0   ：Initialization
1   ：Waiting
2   ：Running
3   ：Offnet mode，used for energy storage
4   ：Grid on-load mode，used for energy storage
5   ：Fault
6   ：Update
7   ：Test
8   ：Self-checking
9   ：Reset</t>
  </si>
  <si>
    <t xml:space="preserve">HfaultMSG</t>
  </si>
  <si>
    <t xml:space="preserve">Uint32</t>
  </si>
  <si>
    <t xml:space="preserve">Display board/slave error
message</t>
  </si>
  <si>
    <t xml:space="preserve">MfaultMSG</t>
  </si>
  <si>
    <t xml:space="preserve">Master controller
error message</t>
  </si>
  <si>
    <t xml:space="preserve">MFaultMSG2</t>
  </si>
  <si>
    <t xml:space="preserve">Master controller
error message 2</t>
  </si>
  <si>
    <t xml:space="preserve">400B</t>
  </si>
  <si>
    <t xml:space="preserve">Reserve</t>
  </si>
  <si>
    <t xml:space="preserve">BMS error message</t>
  </si>
  <si>
    <t xml:space="preserve">400D</t>
  </si>
  <si>
    <t xml:space="preserve">400F</t>
  </si>
  <si>
    <t xml:space="preserve">Error_Count</t>
  </si>
  <si>
    <t xml:space="preserve">Number of
inverter error warning message</t>
  </si>
  <si>
    <t xml:space="preserve">SinkTemp</t>
  </si>
  <si>
    <t xml:space="preserve">Int16</t>
  </si>
  <si>
    <t xml:space="preserve">℃</t>
  </si>
  <si>
    <t xml:space="preserve">Temperature of
radiator</t>
  </si>
  <si>
    <t xml:space="preserve">AmbTemp</t>
  </si>
  <si>
    <t xml:space="preserve">Environment
temperature</t>
  </si>
  <si>
    <t xml:space="preserve">GFCI</t>
  </si>
  <si>
    <t xml:space="preserve">mA</t>
  </si>
  <si>
    <t xml:space="preserve">Electric leakage
to the flood</t>
  </si>
  <si>
    <t xml:space="preserve">ISO1</t>
  </si>
  <si>
    <t xml:space="preserve">UInt16</t>
  </si>
  <si>
    <t xml:space="preserve">k
Ω</t>
  </si>
  <si>
    <t xml:space="preserve">PV1+_ISO</t>
  </si>
  <si>
    <t xml:space="preserve">ISO2</t>
  </si>
  <si>
    <t xml:space="preserve">PV2+_ISO</t>
  </si>
  <si>
    <t xml:space="preserve">ISO3</t>
  </si>
  <si>
    <t xml:space="preserve">PV3+_ISO</t>
  </si>
  <si>
    <t xml:space="preserve">0xffff</t>
  </si>
  <si>
    <t xml:space="preserve">ISO4</t>
  </si>
  <si>
    <t xml:space="preserve">PV    ISO</t>
  </si>
  <si>
    <t xml:space="preserve">Reserved bit</t>
  </si>
  <si>
    <t xml:space="preserve">ConnTime</t>
  </si>
  <si>
    <t xml:space="preserve">S</t>
  </si>
  <si>
    <t xml:space="preserve">Countdown for
grid connection</t>
  </si>
  <si>
    <t xml:space="preserve">401A</t>
  </si>
  <si>
    <t xml:space="preserve">ErrorDataSN</t>
  </si>
  <si>
    <t xml:space="preserve">Serial number of the fault recording area</t>
  </si>
  <si>
    <t xml:space="preserve">Serial number of fault in the fault recording area. For each new fault, the serial number is increased by 1.
If the serial number reaches the maximum value
of 60000 and another fault is added, the serial number becomes 1；</t>
  </si>
  <si>
    <t xml:space="preserve">401B</t>
  </si>
  <si>
    <t xml:space="preserve">SettingDataSN</t>
  </si>
  <si>
    <t xml:space="preserve">Serial number of
the parameter setting area</t>
  </si>
  <si>
    <t xml:space="preserve">If the data in the Settings area has changed +1</t>
  </si>
  <si>
    <t xml:space="preserve">401C</t>
  </si>
  <si>
    <t xml:space="preserve">Running_Data</t>
  </si>
  <si>
    <t xml:space="preserve">Pass-through information (for extended
information addition to the control board)</t>
  </si>
  <si>
    <t xml:space="preserve">SetAppMode</t>
  </si>
  <si>
    <t xml:space="preserve">Inverter sets the
application mode</t>
  </si>
  <si>
    <t xml:space="preserve">0=self-using，1=separate time，2=For
electricity，3=passivity</t>
  </si>
  <si>
    <t xml:space="preserve">BatStatusDisp</t>
  </si>
  <si>
    <t xml:space="preserve">Battery working status</t>
  </si>
  <si>
    <t xml:space="preserve">normal，Prohibit charging，Prohibyted
discharge ，Prohibyted charging and discharge， strength charge，waked</t>
  </si>
  <si>
    <t xml:space="preserve">BatProtocolSet</t>
  </si>
  <si>
    <t xml:space="preserve">Battery protocol</t>
  </si>
  <si>
    <t xml:space="preserve">0：No using battery 1：Zheng Tai485(deleted） 2：plumbic acid
3：SAJ-CAN
4：DYNESS-48V
5：Guo Neng 485(deleted） 6：GH_485
7：GH_CAN
8：Pai Neng CAN 9：WECO
10:UZ_CAN
11:easyLi-CAN 12:DYNESS-51V
13:SAJ_B2
20:dyness (DYNESS-H) Da Qing 21:pylon (SC0500) Pai Neng
22 saj_can</t>
  </si>
  <si>
    <t xml:space="preserve">BatChgSocUpLimit</t>
  </si>
  <si>
    <t xml:space="preserve">%</t>
  </si>
  <si>
    <t xml:space="preserve">Battery set SOC_H</t>
  </si>
  <si>
    <t xml:space="preserve">0-100</t>
  </si>
  <si>
    <t xml:space="preserve">402A</t>
  </si>
  <si>
    <t xml:space="preserve">BatDisSocDowLimit</t>
  </si>
  <si>
    <t xml:space="preserve">Battery set SOC_L</t>
  </si>
  <si>
    <t xml:space="preserve">402B</t>
  </si>
  <si>
    <t xml:space="preserve">BatDODSet</t>
  </si>
  <si>
    <t xml:space="preserve">Set battery DOD</t>
  </si>
  <si>
    <t xml:space="preserve">402C</t>
  </si>
  <si>
    <t xml:space="preserve">BatResSoc</t>
  </si>
  <si>
    <t xml:space="preserve">Set the reserved SOC value of the
battery</t>
  </si>
  <si>
    <t xml:space="preserve">MeterModeSet</t>
  </si>
  <si>
    <t xml:space="preserve">Meter mode which was set</t>
  </si>
  <si>
    <t xml:space="preserve">0：forbid
1：A single phase meter
2：A three-phase electric meter</t>
  </si>
  <si>
    <t xml:space="preserve">RGridVolt</t>
  </si>
  <si>
    <t xml:space="preserve">V</t>
  </si>
  <si>
    <t xml:space="preserve">R phase grid</t>
  </si>
  <si>
    <t xml:space="preserve">Three-phase power grid voltage</t>
  </si>
  <si>
    <t xml:space="preserve">RGridCurr</t>
  </si>
  <si>
    <t xml:space="preserve">A</t>
  </si>
  <si>
    <t xml:space="preserve">R phase grid
current</t>
  </si>
  <si>
    <t xml:space="preserve">RGridFreq</t>
  </si>
  <si>
    <t xml:space="preserve">Hz</t>
  </si>
  <si>
    <t xml:space="preserve">R phase grid
frequency</t>
  </si>
  <si>
    <t xml:space="preserve">RGridDCI</t>
  </si>
  <si>
    <t xml:space="preserve">R phase grid DC
component</t>
  </si>
  <si>
    <t xml:space="preserve">RGridPowerWatt</t>
  </si>
  <si>
    <t xml:space="preserve">W</t>
  </si>
  <si>
    <t xml:space="preserve">R phase grid
active power</t>
  </si>
  <si>
    <t xml:space="preserve">RGridPowerVA</t>
  </si>
  <si>
    <t xml:space="preserve">R phase grid
apparent power</t>
  </si>
  <si>
    <t xml:space="preserve">RGridPowerPF</t>
  </si>
  <si>
    <t xml:space="preserve">R phase grid power
factor</t>
  </si>
  <si>
    <t xml:space="preserve">SGridVolt</t>
  </si>
  <si>
    <t xml:space="preserve">S-phase grid
voltage</t>
  </si>
  <si>
    <t xml:space="preserve">SGridCurr</t>
  </si>
  <si>
    <t xml:space="preserve">S-phase grid
current</t>
  </si>
  <si>
    <t xml:space="preserve">403A</t>
  </si>
  <si>
    <t xml:space="preserve">SGridFreq</t>
  </si>
  <si>
    <t xml:space="preserve">S-phase grid
frequency</t>
  </si>
  <si>
    <t xml:space="preserve">403B</t>
  </si>
  <si>
    <t xml:space="preserve">SGridDCI</t>
  </si>
  <si>
    <t xml:space="preserve">S-phase grid DC
component</t>
  </si>
  <si>
    <t xml:space="preserve">403C</t>
  </si>
  <si>
    <t xml:space="preserve">SGridPowerWatt</t>
  </si>
  <si>
    <t xml:space="preserve">S-phase grid
active power</t>
  </si>
  <si>
    <t xml:space="preserve">403D</t>
  </si>
  <si>
    <t xml:space="preserve">SGridPowerVA</t>
  </si>
  <si>
    <t xml:space="preserve">Apparent power of
S-phase grid</t>
  </si>
  <si>
    <t xml:space="preserve">403E</t>
  </si>
  <si>
    <t xml:space="preserve">SGridPowerPF</t>
  </si>
  <si>
    <t xml:space="preserve">S-phase grid
power factor</t>
  </si>
  <si>
    <t xml:space="preserve">403F</t>
  </si>
  <si>
    <t xml:space="preserve">TGridVolt</t>
  </si>
  <si>
    <t xml:space="preserve">T phase grid
voltage</t>
  </si>
  <si>
    <t xml:space="preserve">TGridCurr</t>
  </si>
  <si>
    <t xml:space="preserve">T-phase grid
current</t>
  </si>
  <si>
    <t xml:space="preserve">TGridFreq</t>
  </si>
  <si>
    <t xml:space="preserve">T-phase grid
frequency</t>
  </si>
  <si>
    <t xml:space="preserve">TGridDCI</t>
  </si>
  <si>
    <t xml:space="preserve">Dc component of
T-phase grid</t>
  </si>
  <si>
    <t xml:space="preserve">TGridPowerWatt</t>
  </si>
  <si>
    <t xml:space="preserve">T phase grid
active power</t>
  </si>
  <si>
    <t xml:space="preserve">TGridPowerVA</t>
  </si>
  <si>
    <t xml:space="preserve">Apparent power of
T-phase grid</t>
  </si>
  <si>
    <t xml:space="preserve">TGridPowerPF</t>
  </si>
  <si>
    <t xml:space="preserve">T-phase grid
power factor</t>
  </si>
  <si>
    <t xml:space="preserve">RInvVolt</t>
  </si>
  <si>
    <t xml:space="preserve">R phase inverter
voltage</t>
  </si>
  <si>
    <t xml:space="preserve">Inverter</t>
  </si>
  <si>
    <t xml:space="preserve">RInvCurr</t>
  </si>
  <si>
    <t xml:space="preserve">R phase inverse
current</t>
  </si>
  <si>
    <t xml:space="preserve">RInvFreq</t>
  </si>
  <si>
    <t xml:space="preserve">R phase inverter</t>
  </si>
  <si>
    <t xml:space="preserve">RInvPowerWatt</t>
  </si>
  <si>
    <t xml:space="preserve">R phase inverting
active power</t>
  </si>
  <si>
    <t xml:space="preserve">404A</t>
  </si>
  <si>
    <t xml:space="preserve">RInvPowerVA</t>
  </si>
  <si>
    <t xml:space="preserve">VA</t>
  </si>
  <si>
    <t xml:space="preserve">R phase inverting
apparent power</t>
  </si>
  <si>
    <t xml:space="preserve">404B</t>
  </si>
  <si>
    <t xml:space="preserve">SInvVolt</t>
  </si>
  <si>
    <t xml:space="preserve">S phase inverter
voltage</t>
  </si>
  <si>
    <t xml:space="preserve">404C</t>
  </si>
  <si>
    <t xml:space="preserve">SInvCurr</t>
  </si>
  <si>
    <t xml:space="preserve">S phase inverter
current</t>
  </si>
  <si>
    <t xml:space="preserve">404D</t>
  </si>
  <si>
    <t xml:space="preserve">SInvFreq</t>
  </si>
  <si>
    <t xml:space="preserve">S phase inverter
frequency</t>
  </si>
  <si>
    <t xml:space="preserve">404E</t>
  </si>
  <si>
    <t xml:space="preserve">SInvPowerWatt</t>
  </si>
  <si>
    <t xml:space="preserve">S-phase inverse
active power</t>
  </si>
  <si>
    <t xml:space="preserve">404F</t>
  </si>
  <si>
    <t xml:space="preserve">SInvPowerVA</t>
  </si>
  <si>
    <t xml:space="preserve">S-phase inverting
apparent power</t>
  </si>
  <si>
    <t xml:space="preserve">TInvVolt</t>
  </si>
  <si>
    <t xml:space="preserve">T phase inverting
voltage</t>
  </si>
  <si>
    <t xml:space="preserve">TInvCurr</t>
  </si>
  <si>
    <t xml:space="preserve">T phase inverse
current</t>
  </si>
  <si>
    <t xml:space="preserve">TInvFreq</t>
  </si>
  <si>
    <t xml:space="preserve">T-phase inverting
frequency</t>
  </si>
  <si>
    <t xml:space="preserve">TInvPowerWatt</t>
  </si>
  <si>
    <t xml:space="preserve">T phase inverting
active power</t>
  </si>
  <si>
    <t xml:space="preserve">TInvPowerVA</t>
  </si>
  <si>
    <t xml:space="preserve">T-phase inverting
apparent power</t>
  </si>
  <si>
    <t xml:space="preserve">ROutVolt</t>
  </si>
  <si>
    <t xml:space="preserve">R phase output
voltage</t>
  </si>
  <si>
    <t xml:space="preserve">Off-grid output voltage DC component</t>
  </si>
  <si>
    <t xml:space="preserve">ROutCurr</t>
  </si>
  <si>
    <t xml:space="preserve">R phase output
current</t>
  </si>
  <si>
    <t xml:space="preserve">ROutFreq</t>
  </si>
  <si>
    <t xml:space="preserve">R phase output
frequency</t>
  </si>
  <si>
    <t xml:space="preserve">ROutDVI</t>
  </si>
  <si>
    <t xml:space="preserve">mV</t>
  </si>
  <si>
    <t xml:space="preserve">R phase output
voltage DC component</t>
  </si>
  <si>
    <t xml:space="preserve">ROutPowerWatt</t>
  </si>
  <si>
    <t xml:space="preserve">The R phase outputs active
power</t>
  </si>
  <si>
    <t xml:space="preserve">405A</t>
  </si>
  <si>
    <t xml:space="preserve">ROutPowerVA</t>
  </si>
  <si>
    <t xml:space="preserve">R phase output
apparent power</t>
  </si>
  <si>
    <t xml:space="preserve">405B</t>
  </si>
  <si>
    <t xml:space="preserve">SOutVolt</t>
  </si>
  <si>
    <t xml:space="preserve">S phase output
voltage</t>
  </si>
  <si>
    <t xml:space="preserve">405C</t>
  </si>
  <si>
    <t xml:space="preserve">SOutCurr</t>
  </si>
  <si>
    <t xml:space="preserve">S phase output
current</t>
  </si>
  <si>
    <t xml:space="preserve">405D</t>
  </si>
  <si>
    <t xml:space="preserve">SOutFreq</t>
  </si>
  <si>
    <t xml:space="preserve">S phase output
frequency</t>
  </si>
  <si>
    <t xml:space="preserve">405E</t>
  </si>
  <si>
    <t xml:space="preserve">SOutDVI</t>
  </si>
  <si>
    <t xml:space="preserve">S phase output</t>
  </si>
  <si>
    <t xml:space="preserve">405F</t>
  </si>
  <si>
    <t xml:space="preserve">SOutPowerWatt</t>
  </si>
  <si>
    <t xml:space="preserve">S phase output
active power</t>
  </si>
  <si>
    <t xml:space="preserve">SOutPowerVA</t>
  </si>
  <si>
    <t xml:space="preserve">S-phase output
apparent power</t>
  </si>
  <si>
    <t xml:space="preserve">TOutVolt</t>
  </si>
  <si>
    <t xml:space="preserve">T phase output
voltage</t>
  </si>
  <si>
    <t xml:space="preserve">TOutCurr</t>
  </si>
  <si>
    <t xml:space="preserve">T phase output
current</t>
  </si>
  <si>
    <t xml:space="preserve">TOutFreq</t>
  </si>
  <si>
    <t xml:space="preserve">T phase output
frequency</t>
  </si>
  <si>
    <t xml:space="preserve">TOutDVI</t>
  </si>
  <si>
    <t xml:space="preserve">T phase output
voltage DC component</t>
  </si>
  <si>
    <t xml:space="preserve">TOutPowerWatt</t>
  </si>
  <si>
    <t xml:space="preserve">T phase output
active power</t>
  </si>
  <si>
    <t xml:space="preserve">TOutPowerVA</t>
  </si>
  <si>
    <t xml:space="preserve">T phase output
apparent power</t>
  </si>
  <si>
    <t xml:space="preserve">BusVoltMaster</t>
  </si>
  <si>
    <t xml:space="preserve">Host BUS voltage</t>
  </si>
  <si>
    <t xml:space="preserve">Bus</t>
  </si>
  <si>
    <t xml:space="preserve">BusVoltSlave</t>
  </si>
  <si>
    <t xml:space="preserve">Slave BUS voltage</t>
  </si>
  <si>
    <t xml:space="preserve">BatVolt</t>
  </si>
  <si>
    <t xml:space="preserve">The battery
voltage</t>
  </si>
  <si>
    <t xml:space="preserve">Battery on live</t>
  </si>
  <si>
    <t xml:space="preserve">406A</t>
  </si>
  <si>
    <t xml:space="preserve">BatCurr</t>
  </si>
  <si>
    <t xml:space="preserve">The battery
current</t>
  </si>
  <si>
    <t xml:space="preserve">406B</t>
  </si>
  <si>
    <t xml:space="preserve">BatCurr1</t>
  </si>
  <si>
    <t xml:space="preserve">Battery
controller 1 Current</t>
  </si>
  <si>
    <t xml:space="preserve">406C</t>
  </si>
  <si>
    <t xml:space="preserve">BatCurr2</t>
  </si>
  <si>
    <t xml:space="preserve">Battery controller 2
Current</t>
  </si>
  <si>
    <t xml:space="preserve">406D</t>
  </si>
  <si>
    <t xml:space="preserve">BatPower</t>
  </si>
  <si>
    <t xml:space="preserve">The battery power</t>
  </si>
  <si>
    <t xml:space="preserve">406E</t>
  </si>
  <si>
    <t xml:space="preserve">BatTempC</t>
  </si>
  <si>
    <t xml:space="preserve">Battery
temperature</t>
  </si>
  <si>
    <t xml:space="preserve">406F</t>
  </si>
  <si>
    <t xml:space="preserve">BatEnergyPercent</t>
  </si>
  <si>
    <t xml:space="preserve">Battery electri</t>
  </si>
  <si>
    <t xml:space="preserve">PV</t>
  </si>
  <si>
    <t xml:space="preserve">PV1Volt</t>
  </si>
  <si>
    <t xml:space="preserve">PV1 voltage</t>
  </si>
  <si>
    <t xml:space="preserve">PV1Curr</t>
  </si>
  <si>
    <t xml:space="preserve">Total current PV1</t>
  </si>
  <si>
    <t xml:space="preserve">PV1Power</t>
  </si>
  <si>
    <t xml:space="preserve">PV1 power</t>
  </si>
  <si>
    <t xml:space="preserve">PV2Volt</t>
  </si>
  <si>
    <t xml:space="preserve">PV2 voltage</t>
  </si>
  <si>
    <t xml:space="preserve">PV2Curr</t>
  </si>
  <si>
    <t xml:space="preserve">Total current PV2</t>
  </si>
  <si>
    <t xml:space="preserve">PV2Power</t>
  </si>
  <si>
    <t xml:space="preserve">PV2 power</t>
  </si>
  <si>
    <t xml:space="preserve">PV3Volt</t>
  </si>
  <si>
    <t xml:space="preserve">PV3 voltage</t>
  </si>
  <si>
    <t xml:space="preserve">PV3Curr</t>
  </si>
  <si>
    <t xml:space="preserve">PV3 total current</t>
  </si>
  <si>
    <t xml:space="preserve">PV3Power</t>
  </si>
  <si>
    <t xml:space="preserve">PV3 power</t>
  </si>
  <si>
    <t xml:space="preserve">407A</t>
  </si>
  <si>
    <t xml:space="preserve">PV4Volt</t>
  </si>
  <si>
    <t xml:space="preserve">PV4 voltage</t>
  </si>
  <si>
    <t xml:space="preserve">407B</t>
  </si>
  <si>
    <t xml:space="preserve">PV4Curr</t>
  </si>
  <si>
    <t xml:space="preserve">PV4 total current</t>
  </si>
  <si>
    <t xml:space="preserve">407C</t>
  </si>
  <si>
    <t xml:space="preserve">PV4Power</t>
  </si>
  <si>
    <t xml:space="preserve">PV4 power</t>
  </si>
  <si>
    <t xml:space="preserve">408D</t>
  </si>
  <si>
    <t xml:space="preserve">ROnGridOutVolt</t>
  </si>
  <si>
    <t xml:space="preserve">R phase
grid-connected side voltage</t>
  </si>
  <si>
    <t xml:space="preserve">Side net</t>
  </si>
  <si>
    <t xml:space="preserve">408E</t>
  </si>
  <si>
    <t xml:space="preserve">ROnGridOutCurr</t>
  </si>
  <si>
    <t xml:space="preserve">Side current of R phase
grid-connected</t>
  </si>
  <si>
    <t xml:space="preserve">408F</t>
  </si>
  <si>
    <t xml:space="preserve">ROnGridOutFreq</t>
  </si>
  <si>
    <t xml:space="preserve">Side frequency of R phase
grid-connected</t>
  </si>
  <si>
    <t xml:space="preserve">ROnGridOutPowerWatt</t>
  </si>
  <si>
    <t xml:space="preserve">Side active power of R phase
grid-connected</t>
  </si>
  <si>
    <t xml:space="preserve">SOnGridOutVolt</t>
  </si>
  <si>
    <t xml:space="preserve">Side voltage of S phase
grid-connected</t>
  </si>
  <si>
    <t xml:space="preserve">SOnGridOutPowerWatt</t>
  </si>
  <si>
    <t xml:space="preserve">Side active power of S phase on the
grid-connected</t>
  </si>
  <si>
    <t xml:space="preserve">TOnGridOutVolt</t>
  </si>
  <si>
    <t xml:space="preserve">T phase
grid-connected side voltage</t>
  </si>
  <si>
    <t xml:space="preserve">TOnGridOutPowerWatt</t>
  </si>
  <si>
    <t xml:space="preserve">T active power on the
grid-connected
side</t>
  </si>
  <si>
    <t xml:space="preserve">PV_direction</t>
  </si>
  <si>
    <t xml:space="preserve">PV Direction of
energy flow</t>
  </si>
  <si>
    <t xml:space="preserve">1：PV energy flow
0：PV no output</t>
  </si>
  <si>
    <t xml:space="preserve">Battery_direction</t>
  </si>
  <si>
    <t xml:space="preserve">int16</t>
  </si>
  <si>
    <t xml:space="preserve">Direction of
battery energy flow</t>
  </si>
  <si>
    <t xml:space="preserve">1：The battery discharge 0：No battery energy flow
-1：The battery charge</t>
  </si>
  <si>
    <t xml:space="preserve">Grid_direction</t>
  </si>
  <si>
    <t xml:space="preserve">Direction of grid energy flow</t>
  </si>
  <si>
    <t xml:space="preserve">1：Grid output
0：No grid energy flow
-1：Grid input</t>
  </si>
  <si>
    <t xml:space="preserve">OutPut_direction</t>
  </si>
  <si>
    <t xml:space="preserve">Direction of energy flow from
output to load</t>
  </si>
  <si>
    <t xml:space="preserve">1：from output to load 0：no output energy flow</t>
  </si>
  <si>
    <t xml:space="preserve">40A0</t>
  </si>
  <si>
    <t xml:space="preserve">SysTotalLoadWatt</t>
  </si>
  <si>
    <t xml:space="preserve">The total system
load consumes power</t>
  </si>
  <si>
    <t xml:space="preserve">40A1</t>
  </si>
  <si>
    <t xml:space="preserve">CT_GridPowerWatt</t>
  </si>
  <si>
    <t xml:space="preserve">CT real power of
the grid</t>
  </si>
  <si>
    <t xml:space="preserve">Internal CT acquisition</t>
  </si>
  <si>
    <t xml:space="preserve">40A2</t>
  </si>
  <si>
    <t xml:space="preserve">CT_GridPowerVA</t>
  </si>
  <si>
    <t xml:space="preserve">CT Apparent power
of the grid</t>
  </si>
  <si>
    <t xml:space="preserve">40A3</t>
  </si>
  <si>
    <t xml:space="preserve">CT_PVPowerWatt</t>
  </si>
  <si>
    <t xml:space="preserve">CT PV real power</t>
  </si>
  <si>
    <t xml:space="preserve">40A4</t>
  </si>
  <si>
    <t xml:space="preserve">CT_PVPowerVA</t>
  </si>
  <si>
    <t xml:space="preserve">CT PV Apparent
power</t>
  </si>
  <si>
    <t xml:space="preserve">40A5</t>
  </si>
  <si>
    <t xml:space="preserve">TotalPVPower</t>
  </si>
  <si>
    <t xml:space="preserve">PV total power</t>
  </si>
  <si>
    <t xml:space="preserve">40A6</t>
  </si>
  <si>
    <t xml:space="preserve">TotalBatteryPower</t>
  </si>
  <si>
    <t xml:space="preserve">Battery total power</t>
  </si>
  <si>
    <t xml:space="preserve">40A7</t>
  </si>
  <si>
    <t xml:space="preserve">TotalGridPowerWatt</t>
  </si>
  <si>
    <t xml:space="preserve">Grid total real power</t>
  </si>
  <si>
    <t xml:space="preserve">40A8</t>
  </si>
  <si>
    <t xml:space="preserve">TotalGridPowerVA</t>
  </si>
  <si>
    <t xml:space="preserve">Grid total
apparent power</t>
  </si>
  <si>
    <t xml:space="preserve">40A9</t>
  </si>
  <si>
    <t xml:space="preserve">TotalInvPowerWatt</t>
  </si>
  <si>
    <t xml:space="preserve">Inverter total real power</t>
  </si>
  <si>
    <t xml:space="preserve">40AA</t>
  </si>
  <si>
    <t xml:space="preserve">TotalInvPowerVA</t>
  </si>
  <si>
    <t xml:space="preserve">Inverter total
apparent power</t>
  </si>
  <si>
    <t xml:space="preserve">40AB</t>
  </si>
  <si>
    <t xml:space="preserve">BackupTotalLoadPowerWatt</t>
  </si>
  <si>
    <t xml:space="preserve">Backup total load real power</t>
  </si>
  <si>
    <t xml:space="preserve">40AC</t>
  </si>
  <si>
    <t xml:space="preserve">BackupTotalLoadPowerVA</t>
  </si>
  <si>
    <t xml:space="preserve">Backup total load apparent power</t>
  </si>
  <si>
    <t xml:space="preserve">40AD</t>
  </si>
  <si>
    <t xml:space="preserve">SysGridPowerWall</t>
  </si>
  <si>
    <t xml:space="preserve">Gird system real
power</t>
  </si>
  <si>
    <t xml:space="preserve">40B0</t>
  </si>
  <si>
    <t xml:space="preserve">reserver</t>
  </si>
  <si>
    <t xml:space="preserve">40BC</t>
  </si>
  <si>
    <t xml:space="preserve">Today_Hour</t>
  </si>
  <si>
    <t xml:space="preserve">H</t>
  </si>
  <si>
    <t xml:space="preserve">PV Grid-connected day generation
time</t>
  </si>
  <si>
    <t xml:space="preserve">40BD</t>
  </si>
  <si>
    <t xml:space="preserve">Total_Hour</t>
  </si>
  <si>
    <t xml:space="preserve">PV Total
grid-connected generation time</t>
  </si>
  <si>
    <t xml:space="preserve">40BF</t>
  </si>
  <si>
    <t xml:space="preserve">Today_PV_Energy</t>
  </si>
  <si>
    <t xml:space="preserve">Kw
h</t>
  </si>
  <si>
    <t xml:space="preserve">PV daily output</t>
  </si>
  <si>
    <t xml:space="preserve">PV1 power generation</t>
  </si>
  <si>
    <t xml:space="preserve">40C1</t>
  </si>
  <si>
    <t xml:space="preserve">Month_PV_Energy</t>
  </si>
  <si>
    <t xml:space="preserve">PV monthly output</t>
  </si>
  <si>
    <t xml:space="preserve">40C3</t>
  </si>
  <si>
    <t xml:space="preserve">Year_PV_Energy</t>
  </si>
  <si>
    <t xml:space="preserve">PV annual output</t>
  </si>
  <si>
    <t xml:space="preserve">40C5</t>
  </si>
  <si>
    <t xml:space="preserve">Total_PV_Energy</t>
  </si>
  <si>
    <t xml:space="preserve">PV total output</t>
  </si>
  <si>
    <t xml:space="preserve">40C7</t>
  </si>
  <si>
    <t xml:space="preserve">Today_BatChgEnergy</t>
  </si>
  <si>
    <t xml:space="preserve">Daily battery
charge</t>
  </si>
  <si>
    <t xml:space="preserve">Battery charge</t>
  </si>
  <si>
    <t xml:space="preserve">40C9</t>
  </si>
  <si>
    <t xml:space="preserve">Month_BatChgEnergy</t>
  </si>
  <si>
    <t xml:space="preserve">Kw h</t>
  </si>
  <si>
    <t xml:space="preserve">Monthly battery charge</t>
  </si>
  <si>
    <t xml:space="preserve">40CB</t>
  </si>
  <si>
    <t xml:space="preserve">Year_BatChgEnergy</t>
  </si>
  <si>
    <t xml:space="preserve">Annual battery charge</t>
  </si>
  <si>
    <t xml:space="preserve">40CD</t>
  </si>
  <si>
    <t xml:space="preserve">Total_BatChgEnergy</t>
  </si>
  <si>
    <t xml:space="preserve">Total battery charge</t>
  </si>
  <si>
    <t xml:space="preserve">40CF</t>
  </si>
  <si>
    <t xml:space="preserve">Today_BatDisEnergy</t>
  </si>
  <si>
    <t xml:space="preserve">Daily battery
discharge quantity</t>
  </si>
  <si>
    <t xml:space="preserve">Battery discharge</t>
  </si>
  <si>
    <t xml:space="preserve">40D1</t>
  </si>
  <si>
    <t xml:space="preserve">Month_BatDisEnergy</t>
  </si>
  <si>
    <t xml:space="preserve">kw h</t>
  </si>
  <si>
    <t xml:space="preserve">Monthly battery
discharge quantity</t>
  </si>
  <si>
    <t xml:space="preserve">40D3</t>
  </si>
  <si>
    <t xml:space="preserve">Year_BatDisEnergy</t>
  </si>
  <si>
    <t xml:space="preserve">Annual battery discharge
quantity</t>
  </si>
  <si>
    <t xml:space="preserve">40D5</t>
  </si>
  <si>
    <t xml:space="preserve">Total_BatDisEnergy</t>
  </si>
  <si>
    <t xml:space="preserve">Total battery discharge power</t>
  </si>
  <si>
    <t xml:space="preserve">40D7</t>
  </si>
  <si>
    <t xml:space="preserve">Today_InvGenEnergy</t>
  </si>
  <si>
    <t xml:space="preserve">Daily inverse electricity</t>
  </si>
  <si>
    <t xml:space="preserve">Inverter power</t>
  </si>
  <si>
    <t xml:space="preserve">40D9</t>
  </si>
  <si>
    <t xml:space="preserve">Month_InvGenEnergy</t>
  </si>
  <si>
    <t xml:space="preserve">Monthly inverse electricity</t>
  </si>
  <si>
    <t xml:space="preserve">40DB</t>
  </si>
  <si>
    <t xml:space="preserve">Year_InvGenEnergy</t>
  </si>
  <si>
    <t xml:space="preserve">Annual inverse electricity</t>
  </si>
  <si>
    <t xml:space="preserve">40DD</t>
  </si>
  <si>
    <t xml:space="preserve">Total_InvGenEnergy</t>
  </si>
  <si>
    <t xml:space="preserve">Total inverse power</t>
  </si>
  <si>
    <t xml:space="preserve">40DF</t>
  </si>
  <si>
    <t xml:space="preserve">Today_TotalLoadEnergy</t>
  </si>
  <si>
    <t xml:space="preserve">Total daily load power consumption</t>
  </si>
  <si>
    <t xml:space="preserve">The system load consumes power </t>
  </si>
  <si>
    <t xml:space="preserve">40E1</t>
  </si>
  <si>
    <t xml:space="preserve">Month_TotalLoadEnergy</t>
  </si>
  <si>
    <t xml:space="preserve">Total monthly
load power consumption</t>
  </si>
  <si>
    <t xml:space="preserve">40E3</t>
  </si>
  <si>
    <t xml:space="preserve">Year_TotalLoadEnergy</t>
  </si>
  <si>
    <t xml:space="preserve">Annual total load power consumption</t>
  </si>
  <si>
    <t xml:space="preserve">40E5</t>
  </si>
  <si>
    <t xml:space="preserve">Total_TotalLoadEnergy</t>
  </si>
  <si>
    <t xml:space="preserve">Total load consumes power</t>
  </si>
  <si>
    <t xml:space="preserve">40E7</t>
  </si>
  <si>
    <t xml:space="preserve">Today_BackupLoadEnergy</t>
  </si>
  <si>
    <t xml:space="preserve">BackUp daily load consumes power</t>
  </si>
  <si>
    <t xml:space="preserve">Backup load consumes power</t>
  </si>
  <si>
    <t xml:space="preserve">40E9</t>
  </si>
  <si>
    <t xml:space="preserve">Month_BackupLoadEnergy</t>
  </si>
  <si>
    <t xml:space="preserve">BackUp monthly
load consumes power</t>
  </si>
  <si>
    <t xml:space="preserve">40EB</t>
  </si>
  <si>
    <t xml:space="preserve">Year_BackupLoadEnergy</t>
  </si>
  <si>
    <t xml:space="preserve">BackUp annual load consumes
power</t>
  </si>
  <si>
    <t xml:space="preserve">40ED</t>
  </si>
  <si>
    <t xml:space="preserve">Total_BackupLoadEnergy</t>
  </si>
  <si>
    <t xml:space="preserve">BackUp total load consumes power</t>
  </si>
  <si>
    <t xml:space="preserve">40EF</t>
  </si>
  <si>
    <t xml:space="preserve">Today_SellEnergy</t>
  </si>
  <si>
    <t xml:space="preserve">kw
h</t>
  </si>
  <si>
    <t xml:space="preserve">Daily system
sells electricity</t>
  </si>
  <si>
    <t xml:space="preserve">R phase grid sells electricity</t>
  </si>
  <si>
    <t xml:space="preserve">40F1</t>
  </si>
  <si>
    <t xml:space="preserve">Month_SellEnergy</t>
  </si>
  <si>
    <t xml:space="preserve">Monthly system
sells electricity</t>
  </si>
  <si>
    <t xml:space="preserve">40F3</t>
  </si>
  <si>
    <t xml:space="preserve">Year_SellEnergy</t>
  </si>
  <si>
    <t xml:space="preserve">Annual system
sells electricity</t>
  </si>
  <si>
    <t xml:space="preserve">40F5</t>
  </si>
  <si>
    <t xml:space="preserve">Total_SellEnergy</t>
  </si>
  <si>
    <t xml:space="preserve">Total system
sells electricity</t>
  </si>
  <si>
    <t xml:space="preserve">40F7</t>
  </si>
  <si>
    <t xml:space="preserve">Today_FeedInEnergy</t>
  </si>
  <si>
    <t xml:space="preserve">Daily system buys electricity</t>
  </si>
  <si>
    <t xml:space="preserve">R phase grid buys electricity</t>
  </si>
  <si>
    <t xml:space="preserve">40F9</t>
  </si>
  <si>
    <t xml:space="preserve">Month_FeedInEnergy</t>
  </si>
  <si>
    <t xml:space="preserve">Monthly system buys electricity</t>
  </si>
  <si>
    <t xml:space="preserve">40FB</t>
  </si>
  <si>
    <t xml:space="preserve">Year_FeedInEnergy</t>
  </si>
  <si>
    <t xml:space="preserve">Annual system buys electricity</t>
  </si>
  <si>
    <t xml:space="preserve">40FD</t>
  </si>
  <si>
    <t xml:space="preserve">Total_FeedInEnergy</t>
  </si>
  <si>
    <t xml:space="preserve">Total system buys electricity</t>
  </si>
  <si>
    <t xml:space="preserve">4137</t>
  </si>
  <si>
    <t xml:space="preserve">Today_PV_Energy2</t>
  </si>
  <si>
    <t xml:space="preserve">Daily PV2 Power
generation</t>
  </si>
  <si>
    <t xml:space="preserve">PV2 power generation</t>
  </si>
  <si>
    <t xml:space="preserve">4139</t>
  </si>
  <si>
    <t xml:space="preserve">Month_PV_Energy2</t>
  </si>
  <si>
    <t xml:space="preserve">Monthly PV2 Power
generation</t>
  </si>
  <si>
    <t xml:space="preserve">413B</t>
  </si>
  <si>
    <t xml:space="preserve">Year_PV_Energy2</t>
  </si>
  <si>
    <t xml:space="preserve">Annual PV2 Power
generation</t>
  </si>
  <si>
    <t xml:space="preserve">413D</t>
  </si>
  <si>
    <t xml:space="preserve">Total_PV_Energy2</t>
  </si>
  <si>
    <t xml:space="preserve">Total PV2 Power
generation</t>
  </si>
  <si>
    <t xml:space="preserve">413F</t>
  </si>
  <si>
    <t xml:space="preserve">Today_PV_Energy3</t>
  </si>
  <si>
    <t xml:space="preserve">Daily PV3 Power
generation</t>
  </si>
  <si>
    <t xml:space="preserve">PV3 power generation</t>
  </si>
  <si>
    <t xml:space="preserve">4141</t>
  </si>
  <si>
    <t xml:space="preserve">Month_PV_Energy3</t>
  </si>
  <si>
    <t xml:space="preserve">Monthly PV3 Power
generation</t>
  </si>
  <si>
    <t xml:space="preserve">4143</t>
  </si>
  <si>
    <t xml:space="preserve">Year_PV_Energy3</t>
  </si>
  <si>
    <t xml:space="preserve">Annual PV3 Power
generation</t>
  </si>
  <si>
    <t xml:space="preserve">4145</t>
  </si>
  <si>
    <t xml:space="preserve">Total_PV_Energy3</t>
  </si>
  <si>
    <t xml:space="preserve">Total PV3 Power
generation</t>
  </si>
  <si>
    <t xml:space="preserve">4147</t>
  </si>
  <si>
    <t xml:space="preserve">Today_SellEnergy2</t>
  </si>
  <si>
    <t xml:space="preserve">Daily amount of Grid2 electricity
sold</t>
  </si>
  <si>
    <t xml:space="preserve">S phase grid sells electricity</t>
  </si>
  <si>
    <t xml:space="preserve">4149</t>
  </si>
  <si>
    <t xml:space="preserve">Month_SellEnergy2</t>
  </si>
  <si>
    <t xml:space="preserve">Monthly amount of
Grid2 electricity sold</t>
  </si>
  <si>
    <t xml:space="preserve">414B</t>
  </si>
  <si>
    <t xml:space="preserve">Year_SellEnergy2</t>
  </si>
  <si>
    <t xml:space="preserve">Annual amount of Grid2 electricity
sold</t>
  </si>
  <si>
    <t xml:space="preserve">414D</t>
  </si>
  <si>
    <t xml:space="preserve">Total_SellEnergy2</t>
  </si>
  <si>
    <t xml:space="preserve">Total amount of Grid2 electricity
sold</t>
  </si>
  <si>
    <t xml:space="preserve">414F</t>
  </si>
  <si>
    <t xml:space="preserve">Today_SellEnergy3</t>
  </si>
  <si>
    <t xml:space="preserve">Daily amount of
Grid3 electricity sold</t>
  </si>
  <si>
    <t xml:space="preserve">T phase grid sells electricity</t>
  </si>
  <si>
    <t xml:space="preserve">4151</t>
  </si>
  <si>
    <t xml:space="preserve">Month_SellEnergy3</t>
  </si>
  <si>
    <t xml:space="preserve">Monthly amount of Grid3 electricity
sold</t>
  </si>
  <si>
    <t xml:space="preserve">4153</t>
  </si>
  <si>
    <t xml:space="preserve">Year_SellEnergy3</t>
  </si>
  <si>
    <t xml:space="preserve">Annual amount of Grid3 electricity
sold</t>
  </si>
  <si>
    <t xml:space="preserve">4155</t>
  </si>
  <si>
    <t xml:space="preserve">Total_SellEnergy3</t>
  </si>
  <si>
    <t xml:space="preserve">Total amount of
Grid3 electricity sold</t>
  </si>
  <si>
    <t xml:space="preserve">4157</t>
  </si>
  <si>
    <t xml:space="preserve">Today_FeedInEnergy2</t>
  </si>
  <si>
    <t xml:space="preserve">Daily amount of Grid2 electricity
bought</t>
  </si>
  <si>
    <t xml:space="preserve">S phase grid buys electricity</t>
  </si>
  <si>
    <t xml:space="preserve">4159</t>
  </si>
  <si>
    <t xml:space="preserve">Month_FeedInEnergy2</t>
  </si>
  <si>
    <t xml:space="preserve">Monthly amount of Grid2 electricity
bought</t>
  </si>
  <si>
    <t xml:space="preserve">415B</t>
  </si>
  <si>
    <t xml:space="preserve">Year_FeedInEnergy2</t>
  </si>
  <si>
    <t xml:space="preserve">Annual amount of
Grid2 electricity bought</t>
  </si>
  <si>
    <t xml:space="preserve">415D</t>
  </si>
  <si>
    <t xml:space="preserve">Total_FeedInEnergy2</t>
  </si>
  <si>
    <t xml:space="preserve">Total amount of
Grid2 electricity bought</t>
  </si>
  <si>
    <t xml:space="preserve">415F</t>
  </si>
  <si>
    <t xml:space="preserve">Today_FeedInEnergy3</t>
  </si>
  <si>
    <t xml:space="preserve">Daily amount of Grid3 electricity
bought</t>
  </si>
  <si>
    <t xml:space="preserve">T phase grid buys electricity</t>
  </si>
  <si>
    <t xml:space="preserve">4161</t>
  </si>
  <si>
    <t xml:space="preserve">Month_FeedInEnergy3</t>
  </si>
  <si>
    <t xml:space="preserve">Monthly amount of
Grid3 electricity bought</t>
  </si>
  <si>
    <t xml:space="preserve">4163</t>
  </si>
  <si>
    <t xml:space="preserve">Year_FeedInEnergy3</t>
  </si>
  <si>
    <t xml:space="preserve">Annual amount of
Grid3 electricity</t>
  </si>
  <si>
    <t xml:space="preserve">4165</t>
  </si>
  <si>
    <t xml:space="preserve">Total_FeedInEnergy3</t>
  </si>
  <si>
    <t xml:space="preserve">Total amount of Grid3 electricity bought</t>
  </si>
  <si>
    <t xml:space="preserve">Sum FeedIn Today</t>
  </si>
  <si>
    <r>
      <rPr>
        <b val="true"/>
        <sz val="12"/>
        <color rgb="FF000000"/>
        <rFont val="Calibri"/>
        <family val="2"/>
      </rPr>
      <t xml:space="preserve">Sum of all phases  </t>
    </r>
    <r>
      <rPr>
        <b val="true"/>
        <sz val="12"/>
        <color rgb="FFBF0041"/>
        <rFont val="Calibri"/>
        <family val="2"/>
      </rPr>
      <t xml:space="preserve">Note: These register are not listed in the official PDF document of SAJ. </t>
    </r>
  </si>
  <si>
    <t xml:space="preserve">Sum FeedIn Month</t>
  </si>
  <si>
    <t xml:space="preserve">416b</t>
  </si>
  <si>
    <t xml:space="preserve">Sum FeedIn Year</t>
  </si>
  <si>
    <t xml:space="preserve">416d</t>
  </si>
  <si>
    <t xml:space="preserve">Sum FeedIn Total</t>
  </si>
  <si>
    <t xml:space="preserve">416f</t>
  </si>
  <si>
    <t xml:space="preserve">Sum Sell Today</t>
  </si>
  <si>
    <t xml:space="preserve">Sum Sell Month</t>
  </si>
  <si>
    <t xml:space="preserve">Sum Sell Year</t>
  </si>
  <si>
    <t xml:space="preserve">Sum Sell Total</t>
  </si>
</sst>
</file>

<file path=xl/styles.xml><?xml version="1.0" encoding="utf-8"?>
<styleSheet xmlns="http://schemas.openxmlformats.org/spreadsheetml/2006/main">
  <numFmts count="4">
    <numFmt numFmtId="164" formatCode="General"/>
    <numFmt numFmtId="165" formatCode="@"/>
    <numFmt numFmtId="166" formatCode="General"/>
    <numFmt numFmtId="167" formatCode="0.00E+00"/>
  </numFmts>
  <fonts count="7">
    <font>
      <sz val="10"/>
      <color rgb="FF000000"/>
      <name val="Times New Roman"/>
      <family val="0"/>
    </font>
    <font>
      <sz val="10"/>
      <name val="Arial"/>
      <family val="0"/>
    </font>
    <font>
      <sz val="10"/>
      <name val="Arial"/>
      <family val="0"/>
    </font>
    <font>
      <sz val="10"/>
      <name val="Arial"/>
      <family val="0"/>
    </font>
    <font>
      <sz val="12"/>
      <color rgb="FF000000"/>
      <name val="Calibri"/>
      <family val="2"/>
    </font>
    <font>
      <b val="true"/>
      <sz val="12"/>
      <color rgb="FF000000"/>
      <name val="Calibri"/>
      <family val="2"/>
    </font>
    <font>
      <b val="true"/>
      <sz val="12"/>
      <color rgb="FFBF0041"/>
      <name val="Calibri"/>
      <family val="2"/>
    </font>
  </fonts>
  <fills count="7">
    <fill>
      <patternFill patternType="none"/>
    </fill>
    <fill>
      <patternFill patternType="gray125"/>
    </fill>
    <fill>
      <patternFill patternType="solid">
        <fgColor rgb="FF3465A4"/>
        <bgColor rgb="FF3366FF"/>
      </patternFill>
    </fill>
    <fill>
      <patternFill patternType="solid">
        <fgColor rgb="FFCCCCCC"/>
        <bgColor rgb="FFCCCCFF"/>
      </patternFill>
    </fill>
    <fill>
      <patternFill patternType="solid">
        <fgColor rgb="FF81ACA6"/>
        <bgColor rgb="FF9999FF"/>
      </patternFill>
    </fill>
    <fill>
      <patternFill patternType="solid">
        <fgColor rgb="FFAFD095"/>
        <bgColor rgb="FFCCCCCC"/>
      </patternFill>
    </fill>
    <fill>
      <patternFill patternType="solid">
        <fgColor rgb="FFC9211E"/>
        <bgColor rgb="FFBF0041"/>
      </patternFill>
    </fill>
  </fills>
  <borders count="2">
    <border diagonalUp="false" diagonalDown="false">
      <left/>
      <right/>
      <top/>
      <bottom/>
      <diagonal/>
    </border>
    <border diagonalUp="false" diagonalDown="false">
      <left style="hair">
        <color rgb="FF808080"/>
      </left>
      <right style="hair">
        <color rgb="FF808080"/>
      </right>
      <top style="hair">
        <color rgb="FF808080"/>
      </top>
      <bottom style="hair">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6" fontId="4" fillId="3" borderId="1" xfId="0" applyFont="true" applyBorder="true" applyAlignment="true" applyProtection="false">
      <alignment horizontal="center" vertical="center" textRotation="0" wrapText="true" indent="0" shrinkToFit="false"/>
      <protection locked="true" hidden="false"/>
    </xf>
    <xf numFmtId="165" fontId="4" fillId="3" borderId="1"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6" fontId="4" fillId="3" borderId="1" xfId="0" applyFont="true" applyBorder="true" applyAlignment="true" applyProtection="false">
      <alignment horizontal="center" vertical="bottom" textRotation="0" wrapText="true" indent="0" shrinkToFit="false"/>
      <protection locked="true" hidden="false"/>
    </xf>
    <xf numFmtId="165" fontId="4" fillId="3"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justify" vertical="bottom" textRotation="0" wrapText="false" indent="0" shrinkToFit="false"/>
      <protection locked="true" hidden="false"/>
    </xf>
    <xf numFmtId="164" fontId="4" fillId="3" borderId="1" xfId="0" applyFont="true" applyBorder="true" applyAlignment="true" applyProtection="false">
      <alignment horizontal="justify" vertical="bottom" textRotation="0" wrapText="true" indent="0" shrinkToFit="false"/>
      <protection locked="true" hidden="false"/>
    </xf>
    <xf numFmtId="166" fontId="4" fillId="4" borderId="1" xfId="0" applyFont="true" applyBorder="true" applyAlignment="true" applyProtection="false">
      <alignment horizontal="center" vertical="bottom" textRotation="0" wrapText="true" indent="0" shrinkToFit="false"/>
      <protection locked="true" hidden="false"/>
    </xf>
    <xf numFmtId="165" fontId="4" fillId="4" borderId="1" xfId="0" applyFont="true" applyBorder="true" applyAlignment="true" applyProtection="false">
      <alignment horizontal="center"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justify"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justify" vertical="bottom" textRotation="0" wrapText="true" indent="0" shrinkToFit="false"/>
      <protection locked="true" hidden="false"/>
    </xf>
    <xf numFmtId="166" fontId="4" fillId="5" borderId="1" xfId="0" applyFont="true" applyBorder="true" applyAlignment="true" applyProtection="false">
      <alignment horizontal="center" vertical="bottom" textRotation="0" wrapText="true" indent="0" shrinkToFit="false"/>
      <protection locked="true" hidden="false"/>
    </xf>
    <xf numFmtId="165" fontId="4" fillId="5" borderId="1" xfId="0" applyFont="true" applyBorder="true" applyAlignment="true" applyProtection="false">
      <alignment horizontal="center"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4" fillId="5"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center" textRotation="0" wrapText="false" indent="0" shrinkToFit="false"/>
      <protection locked="true" hidden="false"/>
    </xf>
    <xf numFmtId="164" fontId="4" fillId="4" borderId="1" xfId="0" applyFont="true" applyBorder="true" applyAlignment="true" applyProtection="false">
      <alignment horizontal="general" vertical="center" textRotation="0" wrapText="false" indent="0" shrinkToFit="false"/>
      <protection locked="true" hidden="false"/>
    </xf>
    <xf numFmtId="164" fontId="4" fillId="5" borderId="1" xfId="0" applyFont="true" applyBorder="true" applyAlignment="true" applyProtection="false">
      <alignment horizontal="justify" vertical="bottom" textRotation="0" wrapText="true" indent="0" shrinkToFit="false"/>
      <protection locked="true" hidden="false"/>
    </xf>
    <xf numFmtId="164" fontId="4" fillId="5"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justify" vertical="center" textRotation="0" wrapText="true" indent="0" shrinkToFit="false"/>
      <protection locked="true" hidden="false"/>
    </xf>
    <xf numFmtId="164" fontId="4" fillId="6" borderId="1"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center" textRotation="0" wrapText="false" indent="0" shrinkToFit="false"/>
      <protection locked="true" hidden="false"/>
    </xf>
    <xf numFmtId="166" fontId="4" fillId="0" borderId="1" xfId="0" applyFont="true" applyBorder="true" applyAlignment="true" applyProtection="false">
      <alignment horizontal="center" vertical="bottom" textRotation="0" wrapText="tru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justify"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fals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7" fontId="4"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99"/>
      <rgbColor rgb="FF3366FF"/>
      <rgbColor rgb="FF33CCCC"/>
      <rgbColor rgb="FF99CC00"/>
      <rgbColor rgb="FFFFCC00"/>
      <rgbColor rgb="FFFF9900"/>
      <rgbColor rgb="FFFF6600"/>
      <rgbColor rgb="FF3465A4"/>
      <rgbColor rgb="FF81ACA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7"/>
  <sheetViews>
    <sheetView showFormulas="false" showGridLines="true" showRowColHeaders="true" showZeros="true" rightToLeft="false" tabSelected="true" showOutlineSymbols="true" defaultGridColor="true" view="normal" topLeftCell="B179" colorId="64" zoomScale="100" zoomScaleNormal="100" zoomScalePageLayoutView="100" workbookViewId="0">
      <selection pane="topLeft" activeCell="D179" activeCellId="0" sqref="D179"/>
    </sheetView>
  </sheetViews>
  <sheetFormatPr defaultColWidth="8.61328125" defaultRowHeight="15" zeroHeight="false" outlineLevelRow="0" outlineLevelCol="0"/>
  <cols>
    <col collapsed="false" customWidth="true" hidden="false" outlineLevel="0" max="1" min="1" style="1" width="8.13"/>
    <col collapsed="false" customWidth="true" hidden="false" outlineLevel="0" max="2" min="2" style="2" width="7.38"/>
    <col collapsed="false" customWidth="true" hidden="false" outlineLevel="0" max="3" min="3" style="1" width="5.89"/>
    <col collapsed="false" customWidth="true" hidden="false" outlineLevel="0" max="4" min="4" style="3" width="31.25"/>
    <col collapsed="false" customWidth="true" hidden="false" outlineLevel="0" max="5" min="5" style="3" width="10.93"/>
    <col collapsed="false" customWidth="true" hidden="false" outlineLevel="0" max="6" min="6" style="3" width="6.71"/>
    <col collapsed="false" customWidth="true" hidden="false" outlineLevel="0" max="7" min="7" style="3" width="6.46"/>
    <col collapsed="false" customWidth="true" hidden="false" outlineLevel="0" max="8" min="8" style="3" width="5.84"/>
    <col collapsed="false" customWidth="true" hidden="false" outlineLevel="0" max="9" min="9" style="3" width="37.53"/>
    <col collapsed="false" customWidth="true" hidden="false" outlineLevel="0" max="10" min="10" style="3" width="111.17"/>
    <col collapsed="false" customWidth="false" hidden="false" outlineLevel="0" max="12" min="11" style="3" width="8.61"/>
    <col collapsed="false" customWidth="true" hidden="false" outlineLevel="0" max="13" min="13" style="3" width="13.67"/>
    <col collapsed="false" customWidth="false" hidden="false" outlineLevel="0" max="16384" min="14" style="3" width="8.61"/>
  </cols>
  <sheetData>
    <row r="1" s="8" customFormat="true" ht="30.45" hidden="false" customHeight="true" outlineLevel="0" collapsed="false">
      <c r="A1" s="4" t="s">
        <v>0</v>
      </c>
      <c r="B1" s="5" t="s">
        <v>1</v>
      </c>
      <c r="C1" s="6" t="s">
        <v>2</v>
      </c>
      <c r="D1" s="7" t="s">
        <v>3</v>
      </c>
      <c r="E1" s="7" t="s">
        <v>4</v>
      </c>
      <c r="F1" s="7" t="s">
        <v>5</v>
      </c>
      <c r="G1" s="7" t="s">
        <v>6</v>
      </c>
      <c r="H1" s="7" t="s">
        <v>7</v>
      </c>
      <c r="I1" s="7" t="s">
        <v>8</v>
      </c>
      <c r="J1" s="7" t="s">
        <v>9</v>
      </c>
      <c r="L1" s="9"/>
    </row>
    <row r="2" s="15" customFormat="true" ht="123.15" hidden="false" customHeight="false" outlineLevel="0" collapsed="false">
      <c r="A2" s="10" t="n">
        <f aca="false">HEX2DEC(B2)</f>
        <v>16388</v>
      </c>
      <c r="B2" s="11" t="n">
        <v>4004</v>
      </c>
      <c r="C2" s="12" t="n">
        <v>1</v>
      </c>
      <c r="D2" s="13" t="s">
        <v>10</v>
      </c>
      <c r="E2" s="13" t="s">
        <v>11</v>
      </c>
      <c r="F2" s="13"/>
      <c r="G2" s="13"/>
      <c r="H2" s="13" t="s">
        <v>12</v>
      </c>
      <c r="I2" s="13" t="s">
        <v>13</v>
      </c>
      <c r="J2" s="14" t="s">
        <v>14</v>
      </c>
      <c r="L2" s="16"/>
    </row>
    <row r="3" s="15" customFormat="true" ht="48.75" hidden="false" customHeight="true" outlineLevel="0" collapsed="false">
      <c r="A3" s="17" t="n">
        <f aca="false">HEX2DEC(B3)</f>
        <v>16389</v>
      </c>
      <c r="B3" s="18" t="n">
        <v>4005</v>
      </c>
      <c r="C3" s="19" t="n">
        <v>2</v>
      </c>
      <c r="D3" s="15" t="s">
        <v>15</v>
      </c>
      <c r="E3" s="15" t="s">
        <v>16</v>
      </c>
      <c r="H3" s="15" t="s">
        <v>12</v>
      </c>
      <c r="I3" s="14" t="s">
        <v>17</v>
      </c>
    </row>
    <row r="4" s="15" customFormat="true" ht="33" hidden="false" customHeight="true" outlineLevel="0" collapsed="false">
      <c r="A4" s="17" t="n">
        <f aca="false">HEX2DEC(B4)</f>
        <v>16391</v>
      </c>
      <c r="B4" s="18" t="n">
        <v>4007</v>
      </c>
      <c r="C4" s="19" t="n">
        <v>2</v>
      </c>
      <c r="D4" s="15" t="s">
        <v>18</v>
      </c>
      <c r="E4" s="15" t="s">
        <v>16</v>
      </c>
      <c r="H4" s="15" t="s">
        <v>12</v>
      </c>
      <c r="I4" s="14" t="s">
        <v>19</v>
      </c>
    </row>
    <row r="5" s="15" customFormat="true" ht="33" hidden="false" customHeight="true" outlineLevel="0" collapsed="false">
      <c r="A5" s="17" t="n">
        <f aca="false">HEX2DEC(B5)</f>
        <v>16393</v>
      </c>
      <c r="B5" s="18" t="n">
        <v>4009</v>
      </c>
      <c r="C5" s="19" t="n">
        <v>2</v>
      </c>
      <c r="D5" s="15" t="s">
        <v>20</v>
      </c>
      <c r="E5" s="15" t="s">
        <v>16</v>
      </c>
      <c r="H5" s="15" t="s">
        <v>12</v>
      </c>
      <c r="I5" s="14" t="s">
        <v>21</v>
      </c>
    </row>
    <row r="6" s="15" customFormat="true" ht="16.5" hidden="false" customHeight="true" outlineLevel="0" collapsed="false">
      <c r="A6" s="17" t="n">
        <f aca="false">HEX2DEC(B6)</f>
        <v>16395</v>
      </c>
      <c r="B6" s="18" t="s">
        <v>22</v>
      </c>
      <c r="C6" s="19" t="n">
        <v>2</v>
      </c>
      <c r="D6" s="15" t="s">
        <v>23</v>
      </c>
      <c r="H6" s="15" t="s">
        <v>12</v>
      </c>
      <c r="I6" s="15" t="s">
        <v>24</v>
      </c>
    </row>
    <row r="7" s="15" customFormat="true" ht="16.5" hidden="false" customHeight="true" outlineLevel="0" collapsed="false">
      <c r="A7" s="17" t="n">
        <f aca="false">HEX2DEC(B7)</f>
        <v>16397</v>
      </c>
      <c r="B7" s="18" t="s">
        <v>25</v>
      </c>
      <c r="C7" s="19" t="n">
        <v>2</v>
      </c>
      <c r="D7" s="15" t="s">
        <v>23</v>
      </c>
      <c r="H7" s="15" t="s">
        <v>12</v>
      </c>
      <c r="I7" s="15" t="s">
        <v>23</v>
      </c>
    </row>
    <row r="8" s="15" customFormat="true" ht="48.75" hidden="false" customHeight="true" outlineLevel="0" collapsed="false">
      <c r="A8" s="17" t="n">
        <f aca="false">HEX2DEC(B8)</f>
        <v>16399</v>
      </c>
      <c r="B8" s="18" t="s">
        <v>26</v>
      </c>
      <c r="C8" s="19" t="n">
        <v>1</v>
      </c>
      <c r="D8" s="15" t="s">
        <v>27</v>
      </c>
      <c r="E8" s="15" t="s">
        <v>11</v>
      </c>
      <c r="F8" s="15" t="n">
        <v>0</v>
      </c>
      <c r="H8" s="15" t="s">
        <v>12</v>
      </c>
      <c r="I8" s="14" t="s">
        <v>28</v>
      </c>
    </row>
    <row r="9" s="15" customFormat="true" ht="33" hidden="false" customHeight="true" outlineLevel="0" collapsed="false">
      <c r="A9" s="17" t="n">
        <f aca="false">HEX2DEC(B9)</f>
        <v>16400</v>
      </c>
      <c r="B9" s="18" t="n">
        <v>4010</v>
      </c>
      <c r="C9" s="19" t="n">
        <v>1</v>
      </c>
      <c r="D9" s="15" t="s">
        <v>29</v>
      </c>
      <c r="E9" s="15" t="s">
        <v>30</v>
      </c>
      <c r="F9" s="15" t="n">
        <v>-1</v>
      </c>
      <c r="G9" s="15" t="s">
        <v>31</v>
      </c>
      <c r="H9" s="15" t="s">
        <v>12</v>
      </c>
      <c r="I9" s="14" t="s">
        <v>32</v>
      </c>
    </row>
    <row r="10" s="15" customFormat="true" ht="33" hidden="false" customHeight="true" outlineLevel="0" collapsed="false">
      <c r="A10" s="17" t="n">
        <f aca="false">HEX2DEC(B10)</f>
        <v>16401</v>
      </c>
      <c r="B10" s="18" t="n">
        <v>4011</v>
      </c>
      <c r="C10" s="19" t="n">
        <v>1</v>
      </c>
      <c r="D10" s="15" t="s">
        <v>33</v>
      </c>
      <c r="E10" s="15" t="s">
        <v>30</v>
      </c>
      <c r="F10" s="15" t="n">
        <v>-1</v>
      </c>
      <c r="G10" s="15" t="s">
        <v>31</v>
      </c>
      <c r="H10" s="15" t="s">
        <v>12</v>
      </c>
      <c r="I10" s="14" t="s">
        <v>34</v>
      </c>
    </row>
    <row r="11" s="15" customFormat="true" ht="33" hidden="false" customHeight="true" outlineLevel="0" collapsed="false">
      <c r="A11" s="17" t="n">
        <f aca="false">HEX2DEC(B11)</f>
        <v>16402</v>
      </c>
      <c r="B11" s="18" t="n">
        <v>4012</v>
      </c>
      <c r="C11" s="19" t="n">
        <v>1</v>
      </c>
      <c r="D11" s="15" t="s">
        <v>35</v>
      </c>
      <c r="E11" s="15" t="s">
        <v>30</v>
      </c>
      <c r="F11" s="15" t="n">
        <v>0</v>
      </c>
      <c r="G11" s="15" t="s">
        <v>36</v>
      </c>
      <c r="H11" s="15" t="s">
        <v>12</v>
      </c>
      <c r="I11" s="14" t="s">
        <v>37</v>
      </c>
    </row>
    <row r="12" s="15" customFormat="true" ht="33" hidden="false" customHeight="true" outlineLevel="0" collapsed="false">
      <c r="A12" s="17" t="n">
        <f aca="false">HEX2DEC(B12)</f>
        <v>16403</v>
      </c>
      <c r="B12" s="18" t="n">
        <v>4013</v>
      </c>
      <c r="C12" s="19" t="n">
        <v>1</v>
      </c>
      <c r="D12" s="15" t="s">
        <v>38</v>
      </c>
      <c r="E12" s="15" t="s">
        <v>39</v>
      </c>
      <c r="F12" s="15" t="n">
        <v>0</v>
      </c>
      <c r="G12" s="14" t="s">
        <v>40</v>
      </c>
      <c r="H12" s="15" t="s">
        <v>12</v>
      </c>
      <c r="I12" s="15" t="s">
        <v>41</v>
      </c>
    </row>
    <row r="13" s="15" customFormat="true" ht="33" hidden="false" customHeight="true" outlineLevel="0" collapsed="false">
      <c r="A13" s="17" t="n">
        <f aca="false">HEX2DEC(B13)</f>
        <v>16404</v>
      </c>
      <c r="B13" s="18" t="n">
        <v>4014</v>
      </c>
      <c r="C13" s="19" t="n">
        <v>1</v>
      </c>
      <c r="D13" s="15" t="s">
        <v>42</v>
      </c>
      <c r="E13" s="15" t="s">
        <v>39</v>
      </c>
      <c r="F13" s="15" t="n">
        <v>0</v>
      </c>
      <c r="G13" s="14" t="s">
        <v>40</v>
      </c>
      <c r="H13" s="15" t="s">
        <v>12</v>
      </c>
      <c r="I13" s="15" t="s">
        <v>43</v>
      </c>
    </row>
    <row r="14" s="15" customFormat="true" ht="33" hidden="false" customHeight="true" outlineLevel="0" collapsed="false">
      <c r="A14" s="17" t="n">
        <f aca="false">HEX2DEC(B14)</f>
        <v>16405</v>
      </c>
      <c r="B14" s="18" t="n">
        <v>4015</v>
      </c>
      <c r="C14" s="19" t="n">
        <v>1</v>
      </c>
      <c r="D14" s="15" t="s">
        <v>44</v>
      </c>
      <c r="E14" s="15" t="s">
        <v>39</v>
      </c>
      <c r="F14" s="15" t="n">
        <v>0</v>
      </c>
      <c r="G14" s="14" t="s">
        <v>40</v>
      </c>
      <c r="H14" s="15" t="s">
        <v>12</v>
      </c>
      <c r="I14" s="15" t="s">
        <v>45</v>
      </c>
      <c r="J14" s="15" t="s">
        <v>46</v>
      </c>
    </row>
    <row r="15" s="15" customFormat="true" ht="33" hidden="false" customHeight="true" outlineLevel="0" collapsed="false">
      <c r="A15" s="17" t="n">
        <f aca="false">HEX2DEC(B15)</f>
        <v>16406</v>
      </c>
      <c r="B15" s="18" t="n">
        <v>4016</v>
      </c>
      <c r="C15" s="19" t="n">
        <v>1</v>
      </c>
      <c r="D15" s="15" t="s">
        <v>47</v>
      </c>
      <c r="E15" s="15" t="s">
        <v>39</v>
      </c>
      <c r="F15" s="15" t="n">
        <v>0</v>
      </c>
      <c r="G15" s="14" t="s">
        <v>40</v>
      </c>
      <c r="H15" s="15" t="s">
        <v>12</v>
      </c>
      <c r="I15" s="15" t="s">
        <v>48</v>
      </c>
    </row>
    <row r="16" s="15" customFormat="true" ht="23.25" hidden="false" customHeight="true" outlineLevel="0" collapsed="false">
      <c r="A16" s="17" t="n">
        <f aca="false">HEX2DEC(B16)</f>
        <v>16407</v>
      </c>
      <c r="B16" s="18" t="n">
        <v>4017</v>
      </c>
      <c r="C16" s="19" t="n">
        <v>2</v>
      </c>
      <c r="I16" s="15" t="s">
        <v>49</v>
      </c>
    </row>
    <row r="17" s="15" customFormat="true" ht="33" hidden="false" customHeight="true" outlineLevel="0" collapsed="false">
      <c r="A17" s="17" t="n">
        <f aca="false">HEX2DEC(B17)</f>
        <v>16409</v>
      </c>
      <c r="B17" s="18" t="n">
        <v>4019</v>
      </c>
      <c r="C17" s="19" t="n">
        <v>1</v>
      </c>
      <c r="D17" s="15" t="s">
        <v>50</v>
      </c>
      <c r="E17" s="15" t="s">
        <v>11</v>
      </c>
      <c r="F17" s="15" t="n">
        <v>0</v>
      </c>
      <c r="G17" s="15" t="s">
        <v>51</v>
      </c>
      <c r="H17" s="15" t="s">
        <v>12</v>
      </c>
      <c r="I17" s="14" t="s">
        <v>52</v>
      </c>
    </row>
    <row r="18" s="15" customFormat="true" ht="98.25" hidden="false" customHeight="true" outlineLevel="0" collapsed="false">
      <c r="A18" s="17" t="n">
        <f aca="false">HEX2DEC(B18)</f>
        <v>16410</v>
      </c>
      <c r="B18" s="18" t="s">
        <v>53</v>
      </c>
      <c r="C18" s="19" t="n">
        <v>1</v>
      </c>
      <c r="D18" s="15" t="s">
        <v>54</v>
      </c>
      <c r="E18" s="15" t="s">
        <v>11</v>
      </c>
      <c r="F18" s="15" t="n">
        <v>0</v>
      </c>
      <c r="H18" s="15" t="s">
        <v>12</v>
      </c>
      <c r="I18" s="20" t="s">
        <v>55</v>
      </c>
      <c r="J18" s="14" t="s">
        <v>56</v>
      </c>
    </row>
    <row r="19" s="15" customFormat="true" ht="25.6" hidden="false" customHeight="false" outlineLevel="0" collapsed="false">
      <c r="A19" s="17" t="n">
        <f aca="false">HEX2DEC(B19)</f>
        <v>16411</v>
      </c>
      <c r="B19" s="18" t="s">
        <v>57</v>
      </c>
      <c r="C19" s="19" t="n">
        <v>1</v>
      </c>
      <c r="D19" s="15" t="s">
        <v>58</v>
      </c>
      <c r="E19" s="15" t="s">
        <v>11</v>
      </c>
      <c r="F19" s="15" t="n">
        <v>0</v>
      </c>
      <c r="H19" s="15" t="s">
        <v>12</v>
      </c>
      <c r="I19" s="21" t="s">
        <v>59</v>
      </c>
      <c r="J19" s="15" t="s">
        <v>60</v>
      </c>
    </row>
    <row r="20" s="15" customFormat="true" ht="25.6" hidden="false" customHeight="false" outlineLevel="0" collapsed="false">
      <c r="A20" s="17" t="n">
        <f aca="false">HEX2DEC(B20)</f>
        <v>16412</v>
      </c>
      <c r="B20" s="18" t="s">
        <v>61</v>
      </c>
      <c r="C20" s="19" t="n">
        <v>6</v>
      </c>
      <c r="D20" s="15" t="s">
        <v>62</v>
      </c>
      <c r="E20" s="15" t="s">
        <v>11</v>
      </c>
      <c r="F20" s="15" t="n">
        <v>0</v>
      </c>
      <c r="H20" s="15" t="s">
        <v>12</v>
      </c>
      <c r="J20" s="14" t="s">
        <v>63</v>
      </c>
    </row>
    <row r="21" s="15" customFormat="true" ht="25.6" hidden="false" customHeight="false" outlineLevel="0" collapsed="false">
      <c r="A21" s="17" t="n">
        <f aca="false">HEX2DEC(B21)</f>
        <v>16418</v>
      </c>
      <c r="B21" s="18" t="n">
        <v>4022</v>
      </c>
      <c r="C21" s="19" t="n">
        <v>1</v>
      </c>
      <c r="D21" s="15" t="s">
        <v>64</v>
      </c>
      <c r="E21" s="15" t="s">
        <v>30</v>
      </c>
      <c r="F21" s="15" t="n">
        <v>0</v>
      </c>
      <c r="H21" s="15" t="s">
        <v>12</v>
      </c>
      <c r="I21" s="21" t="s">
        <v>65</v>
      </c>
      <c r="J21" s="14" t="s">
        <v>66</v>
      </c>
    </row>
    <row r="22" s="25" customFormat="true" ht="25.6" hidden="false" customHeight="false" outlineLevel="0" collapsed="false">
      <c r="A22" s="22" t="n">
        <f aca="false">HEX2DEC(B22)</f>
        <v>16423</v>
      </c>
      <c r="B22" s="23" t="n">
        <v>4027</v>
      </c>
      <c r="C22" s="24" t="n">
        <v>1</v>
      </c>
      <c r="D22" s="25" t="s">
        <v>67</v>
      </c>
      <c r="E22" s="25" t="s">
        <v>11</v>
      </c>
      <c r="F22" s="25" t="n">
        <v>0</v>
      </c>
      <c r="H22" s="25" t="s">
        <v>12</v>
      </c>
      <c r="I22" s="26" t="s">
        <v>68</v>
      </c>
      <c r="J22" s="27" t="s">
        <v>69</v>
      </c>
    </row>
    <row r="23" s="25" customFormat="true" ht="135.35" hidden="false" customHeight="false" outlineLevel="0" collapsed="false">
      <c r="A23" s="22" t="n">
        <f aca="false">HEX2DEC(B23)</f>
        <v>16424</v>
      </c>
      <c r="B23" s="23" t="n">
        <v>4028</v>
      </c>
      <c r="C23" s="24" t="n">
        <v>1</v>
      </c>
      <c r="D23" s="25" t="s">
        <v>70</v>
      </c>
      <c r="E23" s="25" t="s">
        <v>30</v>
      </c>
      <c r="F23" s="25" t="n">
        <v>0</v>
      </c>
      <c r="H23" s="25" t="s">
        <v>12</v>
      </c>
      <c r="I23" s="25" t="s">
        <v>71</v>
      </c>
      <c r="J23" s="28" t="s">
        <v>72</v>
      </c>
    </row>
    <row r="24" s="25" customFormat="true" ht="15" hidden="false" customHeight="false" outlineLevel="0" collapsed="false">
      <c r="A24" s="22" t="n">
        <f aca="false">HEX2DEC(B24)</f>
        <v>16425</v>
      </c>
      <c r="B24" s="23" t="n">
        <v>4029</v>
      </c>
      <c r="C24" s="24" t="n">
        <v>1</v>
      </c>
      <c r="D24" s="25" t="s">
        <v>73</v>
      </c>
      <c r="E24" s="25" t="s">
        <v>30</v>
      </c>
      <c r="F24" s="25" t="n">
        <v>0</v>
      </c>
      <c r="G24" s="25" t="s">
        <v>74</v>
      </c>
      <c r="H24" s="25" t="s">
        <v>12</v>
      </c>
      <c r="I24" s="25" t="s">
        <v>75</v>
      </c>
      <c r="J24" s="25" t="s">
        <v>76</v>
      </c>
    </row>
    <row r="25" s="25" customFormat="true" ht="15" hidden="false" customHeight="false" outlineLevel="0" collapsed="false">
      <c r="A25" s="22" t="n">
        <f aca="false">HEX2DEC(B25)</f>
        <v>16426</v>
      </c>
      <c r="B25" s="23" t="s">
        <v>77</v>
      </c>
      <c r="C25" s="24" t="n">
        <v>1</v>
      </c>
      <c r="D25" s="25" t="s">
        <v>78</v>
      </c>
      <c r="E25" s="25" t="s">
        <v>30</v>
      </c>
      <c r="F25" s="25" t="n">
        <v>0</v>
      </c>
      <c r="G25" s="25" t="s">
        <v>74</v>
      </c>
      <c r="H25" s="25" t="s">
        <v>12</v>
      </c>
      <c r="I25" s="25" t="s">
        <v>79</v>
      </c>
      <c r="J25" s="25" t="s">
        <v>76</v>
      </c>
    </row>
    <row r="26" s="25" customFormat="true" ht="15" hidden="false" customHeight="false" outlineLevel="0" collapsed="false">
      <c r="A26" s="22" t="n">
        <f aca="false">HEX2DEC(B26)</f>
        <v>16427</v>
      </c>
      <c r="B26" s="23" t="s">
        <v>80</v>
      </c>
      <c r="C26" s="24" t="n">
        <v>1</v>
      </c>
      <c r="D26" s="25" t="s">
        <v>81</v>
      </c>
      <c r="E26" s="25" t="s">
        <v>30</v>
      </c>
      <c r="F26" s="25" t="n">
        <v>0</v>
      </c>
      <c r="G26" s="25" t="s">
        <v>74</v>
      </c>
      <c r="H26" s="25" t="s">
        <v>12</v>
      </c>
      <c r="I26" s="25" t="s">
        <v>82</v>
      </c>
      <c r="J26" s="25" t="s">
        <v>76</v>
      </c>
    </row>
    <row r="27" s="25" customFormat="true" ht="25.6" hidden="false" customHeight="false" outlineLevel="0" collapsed="false">
      <c r="A27" s="22" t="n">
        <f aca="false">HEX2DEC(B27)</f>
        <v>16428</v>
      </c>
      <c r="B27" s="23" t="s">
        <v>83</v>
      </c>
      <c r="C27" s="24" t="n">
        <v>1</v>
      </c>
      <c r="D27" s="25" t="s">
        <v>84</v>
      </c>
      <c r="E27" s="25" t="s">
        <v>30</v>
      </c>
      <c r="F27" s="25" t="n">
        <v>0</v>
      </c>
      <c r="G27" s="25" t="s">
        <v>74</v>
      </c>
      <c r="H27" s="25" t="s">
        <v>12</v>
      </c>
      <c r="I27" s="27" t="s">
        <v>85</v>
      </c>
      <c r="J27" s="25" t="s">
        <v>76</v>
      </c>
    </row>
    <row r="28" s="15" customFormat="true" ht="37.8" hidden="false" customHeight="false" outlineLevel="0" collapsed="false">
      <c r="A28" s="17" t="n">
        <f aca="false">HEX2DEC(B28)</f>
        <v>16432</v>
      </c>
      <c r="B28" s="18" t="n">
        <v>4030</v>
      </c>
      <c r="C28" s="19" t="n">
        <v>1</v>
      </c>
      <c r="D28" s="15" t="s">
        <v>86</v>
      </c>
      <c r="E28" s="15" t="s">
        <v>30</v>
      </c>
      <c r="F28" s="15" t="n">
        <v>0</v>
      </c>
      <c r="H28" s="15" t="s">
        <v>12</v>
      </c>
      <c r="I28" s="20" t="s">
        <v>87</v>
      </c>
      <c r="J28" s="14" t="s">
        <v>88</v>
      </c>
    </row>
    <row r="29" s="15" customFormat="true" ht="15" hidden="false" customHeight="false" outlineLevel="0" collapsed="false">
      <c r="A29" s="17" t="n">
        <f aca="false">HEX2DEC(B29)</f>
        <v>16433</v>
      </c>
      <c r="B29" s="18" t="n">
        <v>4031</v>
      </c>
      <c r="C29" s="19" t="n">
        <v>1</v>
      </c>
      <c r="D29" s="15" t="s">
        <v>89</v>
      </c>
      <c r="E29" s="15" t="s">
        <v>11</v>
      </c>
      <c r="F29" s="15" t="n">
        <v>-1</v>
      </c>
      <c r="G29" s="15" t="s">
        <v>90</v>
      </c>
      <c r="H29" s="15" t="s">
        <v>12</v>
      </c>
      <c r="I29" s="20" t="s">
        <v>91</v>
      </c>
      <c r="J29" s="13" t="s">
        <v>92</v>
      </c>
    </row>
    <row r="30" s="15" customFormat="true" ht="25.6" hidden="false" customHeight="false" outlineLevel="0" collapsed="false">
      <c r="A30" s="17" t="n">
        <f aca="false">HEX2DEC(B30)</f>
        <v>16434</v>
      </c>
      <c r="B30" s="18" t="n">
        <v>4032</v>
      </c>
      <c r="C30" s="19" t="n">
        <v>1</v>
      </c>
      <c r="D30" s="15" t="s">
        <v>93</v>
      </c>
      <c r="E30" s="15" t="s">
        <v>30</v>
      </c>
      <c r="F30" s="15" t="n">
        <v>-2</v>
      </c>
      <c r="G30" s="15" t="s">
        <v>94</v>
      </c>
      <c r="H30" s="15" t="s">
        <v>12</v>
      </c>
      <c r="I30" s="14" t="s">
        <v>95</v>
      </c>
      <c r="J30" s="13"/>
    </row>
    <row r="31" s="15" customFormat="true" ht="25.6" hidden="false" customHeight="false" outlineLevel="0" collapsed="false">
      <c r="A31" s="17" t="n">
        <f aca="false">HEX2DEC(B31)</f>
        <v>16435</v>
      </c>
      <c r="B31" s="18" t="n">
        <v>4033</v>
      </c>
      <c r="C31" s="19" t="n">
        <v>1</v>
      </c>
      <c r="D31" s="15" t="s">
        <v>96</v>
      </c>
      <c r="E31" s="15" t="s">
        <v>11</v>
      </c>
      <c r="F31" s="15" t="n">
        <v>-2</v>
      </c>
      <c r="G31" s="15" t="s">
        <v>97</v>
      </c>
      <c r="H31" s="15" t="s">
        <v>12</v>
      </c>
      <c r="I31" s="21" t="s">
        <v>98</v>
      </c>
      <c r="J31" s="13"/>
    </row>
    <row r="32" s="15" customFormat="true" ht="25.6" hidden="false" customHeight="false" outlineLevel="0" collapsed="false">
      <c r="A32" s="17" t="n">
        <f aca="false">HEX2DEC(B32)</f>
        <v>16436</v>
      </c>
      <c r="B32" s="18" t="n">
        <v>4034</v>
      </c>
      <c r="C32" s="19" t="n">
        <v>1</v>
      </c>
      <c r="D32" s="15" t="s">
        <v>99</v>
      </c>
      <c r="E32" s="15" t="s">
        <v>30</v>
      </c>
      <c r="F32" s="15" t="n">
        <v>0</v>
      </c>
      <c r="G32" s="15" t="s">
        <v>36</v>
      </c>
      <c r="H32" s="15" t="s">
        <v>12</v>
      </c>
      <c r="I32" s="21" t="s">
        <v>100</v>
      </c>
      <c r="J32" s="13"/>
    </row>
    <row r="33" s="15" customFormat="true" ht="25.6" hidden="false" customHeight="false" outlineLevel="0" collapsed="false">
      <c r="A33" s="17" t="n">
        <f aca="false">HEX2DEC(B33)</f>
        <v>16437</v>
      </c>
      <c r="B33" s="18" t="n">
        <v>4035</v>
      </c>
      <c r="C33" s="19" t="n">
        <v>1</v>
      </c>
      <c r="D33" s="15" t="s">
        <v>101</v>
      </c>
      <c r="E33" s="15" t="s">
        <v>30</v>
      </c>
      <c r="F33" s="15" t="n">
        <v>0</v>
      </c>
      <c r="G33" s="15" t="s">
        <v>102</v>
      </c>
      <c r="H33" s="15" t="s">
        <v>12</v>
      </c>
      <c r="I33" s="14" t="s">
        <v>103</v>
      </c>
      <c r="J33" s="13"/>
    </row>
    <row r="34" s="15" customFormat="true" ht="25.6" hidden="false" customHeight="false" outlineLevel="0" collapsed="false">
      <c r="A34" s="17" t="n">
        <f aca="false">HEX2DEC(B34)</f>
        <v>16438</v>
      </c>
      <c r="B34" s="18" t="n">
        <v>4036</v>
      </c>
      <c r="C34" s="19" t="n">
        <v>1</v>
      </c>
      <c r="D34" s="15" t="s">
        <v>104</v>
      </c>
      <c r="E34" s="15" t="s">
        <v>11</v>
      </c>
      <c r="F34" s="15" t="n">
        <v>0</v>
      </c>
      <c r="G34" s="15" t="s">
        <v>102</v>
      </c>
      <c r="H34" s="15" t="s">
        <v>12</v>
      </c>
      <c r="I34" s="14" t="s">
        <v>105</v>
      </c>
      <c r="J34" s="13"/>
    </row>
    <row r="35" s="15" customFormat="true" ht="25.6" hidden="false" customHeight="false" outlineLevel="0" collapsed="false">
      <c r="A35" s="17" t="n">
        <f aca="false">HEX2DEC(B35)</f>
        <v>16439</v>
      </c>
      <c r="B35" s="18" t="n">
        <v>4037</v>
      </c>
      <c r="C35" s="19" t="n">
        <v>1</v>
      </c>
      <c r="D35" s="15" t="s">
        <v>106</v>
      </c>
      <c r="E35" s="15" t="s">
        <v>30</v>
      </c>
      <c r="F35" s="15" t="n">
        <v>-3</v>
      </c>
      <c r="H35" s="15" t="s">
        <v>12</v>
      </c>
      <c r="I35" s="14" t="s">
        <v>107</v>
      </c>
      <c r="J35" s="13"/>
    </row>
    <row r="36" s="15" customFormat="true" ht="25.6" hidden="false" customHeight="false" outlineLevel="0" collapsed="false">
      <c r="A36" s="17" t="n">
        <f aca="false">HEX2DEC(B36)</f>
        <v>16440</v>
      </c>
      <c r="B36" s="18" t="n">
        <v>4038</v>
      </c>
      <c r="C36" s="19" t="n">
        <v>1</v>
      </c>
      <c r="D36" s="15" t="s">
        <v>108</v>
      </c>
      <c r="E36" s="15" t="s">
        <v>11</v>
      </c>
      <c r="F36" s="15" t="n">
        <v>-1</v>
      </c>
      <c r="G36" s="15" t="s">
        <v>90</v>
      </c>
      <c r="H36" s="15" t="s">
        <v>12</v>
      </c>
      <c r="I36" s="14" t="s">
        <v>109</v>
      </c>
      <c r="J36" s="13"/>
    </row>
    <row r="37" s="15" customFormat="true" ht="25.6" hidden="false" customHeight="false" outlineLevel="0" collapsed="false">
      <c r="A37" s="17" t="n">
        <f aca="false">HEX2DEC(B37)</f>
        <v>16441</v>
      </c>
      <c r="B37" s="18" t="n">
        <v>4039</v>
      </c>
      <c r="C37" s="19" t="n">
        <v>1</v>
      </c>
      <c r="D37" s="15" t="s">
        <v>110</v>
      </c>
      <c r="E37" s="15" t="s">
        <v>30</v>
      </c>
      <c r="F37" s="15" t="n">
        <v>-2</v>
      </c>
      <c r="G37" s="15" t="s">
        <v>94</v>
      </c>
      <c r="H37" s="15" t="s">
        <v>12</v>
      </c>
      <c r="I37" s="14" t="s">
        <v>111</v>
      </c>
      <c r="J37" s="13"/>
    </row>
    <row r="38" s="15" customFormat="true" ht="25.6" hidden="false" customHeight="false" outlineLevel="0" collapsed="false">
      <c r="A38" s="17" t="n">
        <f aca="false">HEX2DEC(B38)</f>
        <v>16442</v>
      </c>
      <c r="B38" s="18" t="s">
        <v>112</v>
      </c>
      <c r="C38" s="19" t="n">
        <v>1</v>
      </c>
      <c r="D38" s="15" t="s">
        <v>113</v>
      </c>
      <c r="E38" s="15" t="s">
        <v>11</v>
      </c>
      <c r="F38" s="15" t="n">
        <v>-2</v>
      </c>
      <c r="G38" s="15" t="s">
        <v>97</v>
      </c>
      <c r="H38" s="15" t="s">
        <v>12</v>
      </c>
      <c r="I38" s="14" t="s">
        <v>114</v>
      </c>
      <c r="J38" s="13"/>
    </row>
    <row r="39" s="15" customFormat="true" ht="25.6" hidden="false" customHeight="false" outlineLevel="0" collapsed="false">
      <c r="A39" s="17" t="n">
        <f aca="false">HEX2DEC(B39)</f>
        <v>16443</v>
      </c>
      <c r="B39" s="18" t="s">
        <v>115</v>
      </c>
      <c r="C39" s="19" t="n">
        <v>1</v>
      </c>
      <c r="D39" s="15" t="s">
        <v>116</v>
      </c>
      <c r="E39" s="15" t="s">
        <v>30</v>
      </c>
      <c r="F39" s="15" t="n">
        <v>0</v>
      </c>
      <c r="G39" s="15" t="s">
        <v>36</v>
      </c>
      <c r="H39" s="15" t="s">
        <v>12</v>
      </c>
      <c r="I39" s="14" t="s">
        <v>117</v>
      </c>
      <c r="J39" s="13"/>
    </row>
    <row r="40" s="15" customFormat="true" ht="25.6" hidden="false" customHeight="false" outlineLevel="0" collapsed="false">
      <c r="A40" s="17" t="n">
        <f aca="false">HEX2DEC(B40)</f>
        <v>16444</v>
      </c>
      <c r="B40" s="18" t="s">
        <v>118</v>
      </c>
      <c r="C40" s="19" t="n">
        <v>1</v>
      </c>
      <c r="D40" s="15" t="s">
        <v>119</v>
      </c>
      <c r="E40" s="15" t="s">
        <v>30</v>
      </c>
      <c r="F40" s="15" t="n">
        <v>0</v>
      </c>
      <c r="G40" s="15" t="s">
        <v>102</v>
      </c>
      <c r="H40" s="15" t="s">
        <v>12</v>
      </c>
      <c r="I40" s="14" t="s">
        <v>120</v>
      </c>
      <c r="J40" s="13"/>
    </row>
    <row r="41" s="15" customFormat="true" ht="25.6" hidden="false" customHeight="false" outlineLevel="0" collapsed="false">
      <c r="A41" s="17" t="n">
        <f aca="false">HEX2DEC(B41)</f>
        <v>16445</v>
      </c>
      <c r="B41" s="18" t="s">
        <v>121</v>
      </c>
      <c r="C41" s="19" t="n">
        <v>1</v>
      </c>
      <c r="D41" s="15" t="s">
        <v>122</v>
      </c>
      <c r="E41" s="15" t="s">
        <v>11</v>
      </c>
      <c r="F41" s="15" t="n">
        <v>0</v>
      </c>
      <c r="G41" s="15" t="s">
        <v>102</v>
      </c>
      <c r="H41" s="15" t="s">
        <v>12</v>
      </c>
      <c r="I41" s="14" t="s">
        <v>123</v>
      </c>
      <c r="J41" s="13"/>
    </row>
    <row r="42" s="15" customFormat="true" ht="25.6" hidden="false" customHeight="false" outlineLevel="0" collapsed="false">
      <c r="A42" s="17" t="n">
        <f aca="false">HEX2DEC(B42)</f>
        <v>16446</v>
      </c>
      <c r="B42" s="18" t="s">
        <v>124</v>
      </c>
      <c r="C42" s="19" t="n">
        <v>1</v>
      </c>
      <c r="D42" s="15" t="s">
        <v>125</v>
      </c>
      <c r="E42" s="15" t="s">
        <v>30</v>
      </c>
      <c r="F42" s="15" t="n">
        <v>-3</v>
      </c>
      <c r="H42" s="15" t="s">
        <v>12</v>
      </c>
      <c r="I42" s="14" t="s">
        <v>126</v>
      </c>
      <c r="J42" s="13"/>
    </row>
    <row r="43" s="15" customFormat="true" ht="25.6" hidden="false" customHeight="false" outlineLevel="0" collapsed="false">
      <c r="A43" s="17" t="n">
        <f aca="false">HEX2DEC(B43)</f>
        <v>16447</v>
      </c>
      <c r="B43" s="18" t="s">
        <v>127</v>
      </c>
      <c r="C43" s="19" t="n">
        <v>1</v>
      </c>
      <c r="D43" s="15" t="s">
        <v>128</v>
      </c>
      <c r="E43" s="15" t="s">
        <v>11</v>
      </c>
      <c r="F43" s="15" t="n">
        <v>-1</v>
      </c>
      <c r="G43" s="15" t="s">
        <v>90</v>
      </c>
      <c r="H43" s="15" t="s">
        <v>12</v>
      </c>
      <c r="I43" s="14" t="s">
        <v>129</v>
      </c>
      <c r="J43" s="13"/>
    </row>
    <row r="44" s="15" customFormat="true" ht="25.6" hidden="false" customHeight="false" outlineLevel="0" collapsed="false">
      <c r="A44" s="17" t="n">
        <f aca="false">HEX2DEC(B44)</f>
        <v>16448</v>
      </c>
      <c r="B44" s="18" t="n">
        <v>4040</v>
      </c>
      <c r="C44" s="19" t="n">
        <v>1</v>
      </c>
      <c r="D44" s="15" t="s">
        <v>130</v>
      </c>
      <c r="E44" s="15" t="s">
        <v>30</v>
      </c>
      <c r="F44" s="15" t="n">
        <v>-2</v>
      </c>
      <c r="G44" s="15" t="s">
        <v>94</v>
      </c>
      <c r="H44" s="15" t="s">
        <v>12</v>
      </c>
      <c r="I44" s="14" t="s">
        <v>131</v>
      </c>
      <c r="J44" s="13"/>
    </row>
    <row r="45" s="15" customFormat="true" ht="25.6" hidden="false" customHeight="false" outlineLevel="0" collapsed="false">
      <c r="A45" s="17" t="n">
        <f aca="false">HEX2DEC(B45)</f>
        <v>16449</v>
      </c>
      <c r="B45" s="18" t="n">
        <v>4041</v>
      </c>
      <c r="C45" s="19" t="n">
        <v>1</v>
      </c>
      <c r="D45" s="15" t="s">
        <v>132</v>
      </c>
      <c r="E45" s="15" t="s">
        <v>11</v>
      </c>
      <c r="F45" s="15" t="n">
        <v>-2</v>
      </c>
      <c r="G45" s="15" t="s">
        <v>97</v>
      </c>
      <c r="H45" s="15" t="s">
        <v>12</v>
      </c>
      <c r="I45" s="14" t="s">
        <v>133</v>
      </c>
      <c r="J45" s="13"/>
    </row>
    <row r="46" s="15" customFormat="true" ht="25.6" hidden="false" customHeight="false" outlineLevel="0" collapsed="false">
      <c r="A46" s="17" t="n">
        <f aca="false">HEX2DEC(B46)</f>
        <v>16450</v>
      </c>
      <c r="B46" s="18" t="n">
        <v>4042</v>
      </c>
      <c r="C46" s="19" t="n">
        <v>1</v>
      </c>
      <c r="D46" s="15" t="s">
        <v>134</v>
      </c>
      <c r="E46" s="15" t="s">
        <v>30</v>
      </c>
      <c r="F46" s="15" t="n">
        <v>0</v>
      </c>
      <c r="G46" s="15" t="s">
        <v>36</v>
      </c>
      <c r="H46" s="15" t="s">
        <v>12</v>
      </c>
      <c r="I46" s="14" t="s">
        <v>135</v>
      </c>
      <c r="J46" s="13"/>
    </row>
    <row r="47" s="15" customFormat="true" ht="25.6" hidden="false" customHeight="false" outlineLevel="0" collapsed="false">
      <c r="A47" s="17" t="n">
        <f aca="false">HEX2DEC(B47)</f>
        <v>16451</v>
      </c>
      <c r="B47" s="18" t="n">
        <v>4043</v>
      </c>
      <c r="C47" s="19" t="n">
        <v>1</v>
      </c>
      <c r="D47" s="15" t="s">
        <v>136</v>
      </c>
      <c r="E47" s="15" t="s">
        <v>30</v>
      </c>
      <c r="F47" s="15" t="n">
        <v>0</v>
      </c>
      <c r="G47" s="15" t="s">
        <v>102</v>
      </c>
      <c r="H47" s="15" t="s">
        <v>12</v>
      </c>
      <c r="I47" s="14" t="s">
        <v>137</v>
      </c>
      <c r="J47" s="13"/>
    </row>
    <row r="48" s="15" customFormat="true" ht="25.6" hidden="false" customHeight="false" outlineLevel="0" collapsed="false">
      <c r="A48" s="17" t="n">
        <f aca="false">HEX2DEC(B48)</f>
        <v>16452</v>
      </c>
      <c r="B48" s="18" t="n">
        <v>4044</v>
      </c>
      <c r="C48" s="19" t="n">
        <v>1</v>
      </c>
      <c r="D48" s="15" t="s">
        <v>138</v>
      </c>
      <c r="E48" s="15" t="s">
        <v>11</v>
      </c>
      <c r="F48" s="15" t="n">
        <v>0</v>
      </c>
      <c r="G48" s="15" t="s">
        <v>102</v>
      </c>
      <c r="H48" s="15" t="s">
        <v>12</v>
      </c>
      <c r="I48" s="14" t="s">
        <v>139</v>
      </c>
      <c r="J48" s="13"/>
    </row>
    <row r="49" s="15" customFormat="true" ht="25.6" hidden="false" customHeight="false" outlineLevel="0" collapsed="false">
      <c r="A49" s="17" t="n">
        <f aca="false">HEX2DEC(B49)</f>
        <v>16453</v>
      </c>
      <c r="B49" s="18" t="n">
        <v>4045</v>
      </c>
      <c r="C49" s="19" t="n">
        <v>1</v>
      </c>
      <c r="D49" s="15" t="s">
        <v>140</v>
      </c>
      <c r="E49" s="15" t="s">
        <v>30</v>
      </c>
      <c r="F49" s="15" t="n">
        <v>-3</v>
      </c>
      <c r="H49" s="15" t="s">
        <v>12</v>
      </c>
      <c r="I49" s="14" t="s">
        <v>141</v>
      </c>
      <c r="J49" s="13"/>
    </row>
    <row r="50" s="15" customFormat="true" ht="25.6" hidden="false" customHeight="false" outlineLevel="0" collapsed="false">
      <c r="A50" s="17" t="n">
        <f aca="false">HEX2DEC(B50)</f>
        <v>16454</v>
      </c>
      <c r="B50" s="18" t="n">
        <v>4046</v>
      </c>
      <c r="C50" s="19" t="n">
        <v>1</v>
      </c>
      <c r="D50" s="15" t="s">
        <v>142</v>
      </c>
      <c r="E50" s="15" t="s">
        <v>11</v>
      </c>
      <c r="F50" s="15" t="n">
        <v>-1</v>
      </c>
      <c r="G50" s="15" t="s">
        <v>90</v>
      </c>
      <c r="H50" s="15" t="s">
        <v>12</v>
      </c>
      <c r="I50" s="14" t="s">
        <v>143</v>
      </c>
      <c r="J50" s="13" t="s">
        <v>144</v>
      </c>
    </row>
    <row r="51" s="15" customFormat="true" ht="25.6" hidden="false" customHeight="false" outlineLevel="0" collapsed="false">
      <c r="A51" s="17" t="n">
        <f aca="false">HEX2DEC(B51)</f>
        <v>16455</v>
      </c>
      <c r="B51" s="18" t="n">
        <v>4047</v>
      </c>
      <c r="C51" s="19" t="n">
        <v>1</v>
      </c>
      <c r="D51" s="15" t="s">
        <v>145</v>
      </c>
      <c r="E51" s="15" t="s">
        <v>30</v>
      </c>
      <c r="F51" s="15" t="n">
        <v>-2</v>
      </c>
      <c r="G51" s="15" t="s">
        <v>94</v>
      </c>
      <c r="H51" s="15" t="s">
        <v>12</v>
      </c>
      <c r="I51" s="14" t="s">
        <v>146</v>
      </c>
      <c r="J51" s="13"/>
    </row>
    <row r="52" s="15" customFormat="true" ht="15" hidden="false" customHeight="false" outlineLevel="0" collapsed="false">
      <c r="A52" s="17" t="n">
        <f aca="false">HEX2DEC(B52)</f>
        <v>16456</v>
      </c>
      <c r="B52" s="18" t="n">
        <v>4048</v>
      </c>
      <c r="C52" s="19" t="n">
        <v>1</v>
      </c>
      <c r="D52" s="15" t="s">
        <v>147</v>
      </c>
      <c r="E52" s="15" t="s">
        <v>11</v>
      </c>
      <c r="F52" s="15" t="n">
        <v>-2</v>
      </c>
      <c r="G52" s="15" t="s">
        <v>97</v>
      </c>
      <c r="H52" s="15" t="s">
        <v>12</v>
      </c>
      <c r="I52" s="15" t="s">
        <v>148</v>
      </c>
      <c r="J52" s="13"/>
    </row>
    <row r="53" s="15" customFormat="true" ht="25.6" hidden="false" customHeight="false" outlineLevel="0" collapsed="false">
      <c r="A53" s="17" t="n">
        <f aca="false">HEX2DEC(B53)</f>
        <v>16457</v>
      </c>
      <c r="B53" s="18" t="n">
        <v>4049</v>
      </c>
      <c r="C53" s="19" t="n">
        <v>1</v>
      </c>
      <c r="D53" s="15" t="s">
        <v>149</v>
      </c>
      <c r="E53" s="15" t="s">
        <v>30</v>
      </c>
      <c r="F53" s="15" t="n">
        <v>0</v>
      </c>
      <c r="G53" s="15" t="s">
        <v>102</v>
      </c>
      <c r="H53" s="15" t="s">
        <v>12</v>
      </c>
      <c r="I53" s="14" t="s">
        <v>150</v>
      </c>
      <c r="J53" s="13"/>
    </row>
    <row r="54" s="15" customFormat="true" ht="25.6" hidden="false" customHeight="false" outlineLevel="0" collapsed="false">
      <c r="A54" s="17" t="n">
        <f aca="false">HEX2DEC(B54)</f>
        <v>16458</v>
      </c>
      <c r="B54" s="18" t="s">
        <v>151</v>
      </c>
      <c r="C54" s="19" t="n">
        <v>1</v>
      </c>
      <c r="D54" s="15" t="s">
        <v>152</v>
      </c>
      <c r="E54" s="15" t="s">
        <v>11</v>
      </c>
      <c r="F54" s="15" t="n">
        <v>0</v>
      </c>
      <c r="G54" s="15" t="s">
        <v>153</v>
      </c>
      <c r="H54" s="15" t="s">
        <v>12</v>
      </c>
      <c r="I54" s="14" t="s">
        <v>154</v>
      </c>
      <c r="J54" s="13"/>
    </row>
    <row r="55" s="15" customFormat="true" ht="25.6" hidden="false" customHeight="false" outlineLevel="0" collapsed="false">
      <c r="A55" s="17" t="n">
        <f aca="false">HEX2DEC(B55)</f>
        <v>16459</v>
      </c>
      <c r="B55" s="18" t="s">
        <v>155</v>
      </c>
      <c r="C55" s="19" t="n">
        <v>1</v>
      </c>
      <c r="D55" s="15" t="s">
        <v>156</v>
      </c>
      <c r="E55" s="15" t="s">
        <v>11</v>
      </c>
      <c r="F55" s="15" t="n">
        <v>-1</v>
      </c>
      <c r="G55" s="15" t="s">
        <v>90</v>
      </c>
      <c r="H55" s="15" t="s">
        <v>12</v>
      </c>
      <c r="I55" s="14" t="s">
        <v>157</v>
      </c>
      <c r="J55" s="13"/>
    </row>
    <row r="56" s="15" customFormat="true" ht="25.6" hidden="false" customHeight="false" outlineLevel="0" collapsed="false">
      <c r="A56" s="17" t="n">
        <f aca="false">HEX2DEC(B56)</f>
        <v>16460</v>
      </c>
      <c r="B56" s="18" t="s">
        <v>158</v>
      </c>
      <c r="C56" s="19" t="n">
        <v>1</v>
      </c>
      <c r="D56" s="15" t="s">
        <v>159</v>
      </c>
      <c r="E56" s="15" t="s">
        <v>30</v>
      </c>
      <c r="F56" s="15" t="n">
        <v>-2</v>
      </c>
      <c r="G56" s="15" t="s">
        <v>94</v>
      </c>
      <c r="H56" s="15" t="s">
        <v>12</v>
      </c>
      <c r="I56" s="14" t="s">
        <v>160</v>
      </c>
      <c r="J56" s="13"/>
    </row>
    <row r="57" s="15" customFormat="true" ht="25.6" hidden="false" customHeight="false" outlineLevel="0" collapsed="false">
      <c r="A57" s="17" t="n">
        <f aca="false">HEX2DEC(B57)</f>
        <v>16461</v>
      </c>
      <c r="B57" s="18" t="s">
        <v>161</v>
      </c>
      <c r="C57" s="19" t="n">
        <v>1</v>
      </c>
      <c r="D57" s="15" t="s">
        <v>162</v>
      </c>
      <c r="E57" s="15" t="s">
        <v>11</v>
      </c>
      <c r="F57" s="15" t="n">
        <v>-2</v>
      </c>
      <c r="G57" s="15" t="s">
        <v>97</v>
      </c>
      <c r="H57" s="15" t="s">
        <v>12</v>
      </c>
      <c r="I57" s="14" t="s">
        <v>163</v>
      </c>
      <c r="J57" s="13"/>
    </row>
    <row r="58" s="15" customFormat="true" ht="25.6" hidden="false" customHeight="false" outlineLevel="0" collapsed="false">
      <c r="A58" s="17" t="n">
        <f aca="false">HEX2DEC(B58)</f>
        <v>16462</v>
      </c>
      <c r="B58" s="18" t="s">
        <v>164</v>
      </c>
      <c r="C58" s="19" t="n">
        <v>1</v>
      </c>
      <c r="D58" s="15" t="s">
        <v>165</v>
      </c>
      <c r="E58" s="15" t="s">
        <v>30</v>
      </c>
      <c r="F58" s="15" t="n">
        <v>0</v>
      </c>
      <c r="G58" s="15" t="s">
        <v>102</v>
      </c>
      <c r="H58" s="15" t="s">
        <v>12</v>
      </c>
      <c r="I58" s="14" t="s">
        <v>166</v>
      </c>
      <c r="J58" s="13"/>
    </row>
    <row r="59" s="15" customFormat="true" ht="25.6" hidden="false" customHeight="false" outlineLevel="0" collapsed="false">
      <c r="A59" s="17" t="n">
        <f aca="false">HEX2DEC(B59)</f>
        <v>16463</v>
      </c>
      <c r="B59" s="18" t="s">
        <v>167</v>
      </c>
      <c r="C59" s="19" t="n">
        <v>1</v>
      </c>
      <c r="D59" s="15" t="s">
        <v>168</v>
      </c>
      <c r="E59" s="15" t="s">
        <v>11</v>
      </c>
      <c r="F59" s="15" t="n">
        <v>0</v>
      </c>
      <c r="G59" s="15" t="s">
        <v>153</v>
      </c>
      <c r="H59" s="15" t="s">
        <v>12</v>
      </c>
      <c r="I59" s="14" t="s">
        <v>169</v>
      </c>
      <c r="J59" s="13"/>
    </row>
    <row r="60" s="15" customFormat="true" ht="25.6" hidden="false" customHeight="false" outlineLevel="0" collapsed="false">
      <c r="A60" s="17" t="n">
        <f aca="false">HEX2DEC(B60)</f>
        <v>16464</v>
      </c>
      <c r="B60" s="18" t="n">
        <v>4050</v>
      </c>
      <c r="C60" s="19" t="n">
        <v>1</v>
      </c>
      <c r="D60" s="15" t="s">
        <v>170</v>
      </c>
      <c r="E60" s="15" t="s">
        <v>11</v>
      </c>
      <c r="F60" s="15" t="n">
        <v>-1</v>
      </c>
      <c r="G60" s="15" t="s">
        <v>90</v>
      </c>
      <c r="H60" s="15" t="s">
        <v>12</v>
      </c>
      <c r="I60" s="14" t="s">
        <v>171</v>
      </c>
      <c r="J60" s="13"/>
    </row>
    <row r="61" s="15" customFormat="true" ht="25.6" hidden="false" customHeight="false" outlineLevel="0" collapsed="false">
      <c r="A61" s="17" t="n">
        <f aca="false">HEX2DEC(B61)</f>
        <v>16465</v>
      </c>
      <c r="B61" s="18" t="n">
        <v>4051</v>
      </c>
      <c r="C61" s="19" t="n">
        <v>1</v>
      </c>
      <c r="D61" s="15" t="s">
        <v>172</v>
      </c>
      <c r="E61" s="15" t="s">
        <v>30</v>
      </c>
      <c r="F61" s="15" t="n">
        <v>-2</v>
      </c>
      <c r="G61" s="15" t="s">
        <v>94</v>
      </c>
      <c r="H61" s="15" t="s">
        <v>12</v>
      </c>
      <c r="I61" s="14" t="s">
        <v>173</v>
      </c>
      <c r="J61" s="13"/>
    </row>
    <row r="62" s="15" customFormat="true" ht="25.6" hidden="false" customHeight="false" outlineLevel="0" collapsed="false">
      <c r="A62" s="17" t="n">
        <f aca="false">HEX2DEC(B62)</f>
        <v>16466</v>
      </c>
      <c r="B62" s="18" t="n">
        <v>4052</v>
      </c>
      <c r="C62" s="19" t="n">
        <v>1</v>
      </c>
      <c r="D62" s="15" t="s">
        <v>174</v>
      </c>
      <c r="E62" s="15" t="s">
        <v>11</v>
      </c>
      <c r="F62" s="15" t="n">
        <v>-2</v>
      </c>
      <c r="G62" s="15" t="s">
        <v>97</v>
      </c>
      <c r="H62" s="15" t="s">
        <v>12</v>
      </c>
      <c r="I62" s="14" t="s">
        <v>175</v>
      </c>
      <c r="J62" s="13"/>
    </row>
    <row r="63" s="15" customFormat="true" ht="25.6" hidden="false" customHeight="false" outlineLevel="0" collapsed="false">
      <c r="A63" s="17" t="n">
        <f aca="false">HEX2DEC(B63)</f>
        <v>16467</v>
      </c>
      <c r="B63" s="18" t="n">
        <v>4053</v>
      </c>
      <c r="C63" s="19" t="n">
        <v>1</v>
      </c>
      <c r="D63" s="15" t="s">
        <v>176</v>
      </c>
      <c r="E63" s="15" t="s">
        <v>30</v>
      </c>
      <c r="F63" s="15" t="n">
        <v>0</v>
      </c>
      <c r="G63" s="15" t="s">
        <v>102</v>
      </c>
      <c r="H63" s="15" t="s">
        <v>12</v>
      </c>
      <c r="I63" s="14" t="s">
        <v>177</v>
      </c>
      <c r="J63" s="13"/>
    </row>
    <row r="64" s="15" customFormat="true" ht="25.6" hidden="false" customHeight="false" outlineLevel="0" collapsed="false">
      <c r="A64" s="17" t="n">
        <f aca="false">HEX2DEC(B64)</f>
        <v>16468</v>
      </c>
      <c r="B64" s="18" t="n">
        <v>4054</v>
      </c>
      <c r="C64" s="19" t="n">
        <v>1</v>
      </c>
      <c r="D64" s="15" t="s">
        <v>178</v>
      </c>
      <c r="E64" s="15" t="s">
        <v>11</v>
      </c>
      <c r="F64" s="15" t="n">
        <v>0</v>
      </c>
      <c r="G64" s="15" t="s">
        <v>153</v>
      </c>
      <c r="H64" s="15" t="s">
        <v>12</v>
      </c>
      <c r="I64" s="14" t="s">
        <v>179</v>
      </c>
      <c r="J64" s="13"/>
    </row>
    <row r="65" s="15" customFormat="true" ht="25.6" hidden="false" customHeight="false" outlineLevel="0" collapsed="false">
      <c r="A65" s="17" t="n">
        <f aca="false">HEX2DEC(B65)</f>
        <v>16469</v>
      </c>
      <c r="B65" s="18" t="n">
        <v>4055</v>
      </c>
      <c r="C65" s="19" t="n">
        <v>1</v>
      </c>
      <c r="D65" s="15" t="s">
        <v>180</v>
      </c>
      <c r="E65" s="15" t="s">
        <v>11</v>
      </c>
      <c r="F65" s="15" t="n">
        <v>-1</v>
      </c>
      <c r="G65" s="15" t="s">
        <v>90</v>
      </c>
      <c r="H65" s="15" t="s">
        <v>12</v>
      </c>
      <c r="I65" s="14" t="s">
        <v>181</v>
      </c>
      <c r="J65" s="13" t="s">
        <v>182</v>
      </c>
    </row>
    <row r="66" s="15" customFormat="true" ht="25.6" hidden="false" customHeight="false" outlineLevel="0" collapsed="false">
      <c r="A66" s="17" t="n">
        <f aca="false">HEX2DEC(B66)</f>
        <v>16470</v>
      </c>
      <c r="B66" s="18" t="n">
        <v>4056</v>
      </c>
      <c r="C66" s="19" t="n">
        <v>1</v>
      </c>
      <c r="D66" s="15" t="s">
        <v>183</v>
      </c>
      <c r="E66" s="15" t="s">
        <v>11</v>
      </c>
      <c r="F66" s="15" t="n">
        <v>-2</v>
      </c>
      <c r="G66" s="15" t="s">
        <v>94</v>
      </c>
      <c r="H66" s="15" t="s">
        <v>12</v>
      </c>
      <c r="I66" s="14" t="s">
        <v>184</v>
      </c>
      <c r="J66" s="13"/>
    </row>
    <row r="67" s="15" customFormat="true" ht="25.6" hidden="false" customHeight="false" outlineLevel="0" collapsed="false">
      <c r="A67" s="17" t="n">
        <f aca="false">HEX2DEC(B67)</f>
        <v>16471</v>
      </c>
      <c r="B67" s="18" t="n">
        <v>4057</v>
      </c>
      <c r="C67" s="19" t="n">
        <v>1</v>
      </c>
      <c r="D67" s="15" t="s">
        <v>185</v>
      </c>
      <c r="E67" s="15" t="s">
        <v>11</v>
      </c>
      <c r="F67" s="15" t="n">
        <v>-2</v>
      </c>
      <c r="G67" s="15" t="s">
        <v>97</v>
      </c>
      <c r="H67" s="15" t="s">
        <v>12</v>
      </c>
      <c r="I67" s="14" t="s">
        <v>186</v>
      </c>
      <c r="J67" s="13"/>
    </row>
    <row r="68" s="15" customFormat="true" ht="25.6" hidden="false" customHeight="false" outlineLevel="0" collapsed="false">
      <c r="A68" s="17" t="n">
        <f aca="false">HEX2DEC(B68)</f>
        <v>16472</v>
      </c>
      <c r="B68" s="18" t="n">
        <v>4058</v>
      </c>
      <c r="C68" s="19" t="n">
        <v>1</v>
      </c>
      <c r="D68" s="15" t="s">
        <v>187</v>
      </c>
      <c r="E68" s="15" t="s">
        <v>30</v>
      </c>
      <c r="F68" s="15" t="n">
        <v>0</v>
      </c>
      <c r="G68" s="15" t="s">
        <v>188</v>
      </c>
      <c r="H68" s="15" t="s">
        <v>12</v>
      </c>
      <c r="I68" s="21" t="s">
        <v>189</v>
      </c>
      <c r="J68" s="13"/>
    </row>
    <row r="69" s="15" customFormat="true" ht="25.6" hidden="false" customHeight="false" outlineLevel="0" collapsed="false">
      <c r="A69" s="17" t="n">
        <f aca="false">HEX2DEC(B69)</f>
        <v>16473</v>
      </c>
      <c r="B69" s="18" t="n">
        <v>4059</v>
      </c>
      <c r="C69" s="19" t="n">
        <v>1</v>
      </c>
      <c r="D69" s="15" t="s">
        <v>190</v>
      </c>
      <c r="E69" s="15" t="s">
        <v>11</v>
      </c>
      <c r="F69" s="15" t="n">
        <v>0</v>
      </c>
      <c r="G69" s="15" t="s">
        <v>102</v>
      </c>
      <c r="H69" s="15" t="s">
        <v>12</v>
      </c>
      <c r="I69" s="21" t="s">
        <v>191</v>
      </c>
      <c r="J69" s="13"/>
    </row>
    <row r="70" s="15" customFormat="true" ht="25.6" hidden="false" customHeight="false" outlineLevel="0" collapsed="false">
      <c r="A70" s="17" t="n">
        <f aca="false">HEX2DEC(B70)</f>
        <v>16474</v>
      </c>
      <c r="B70" s="18" t="s">
        <v>192</v>
      </c>
      <c r="C70" s="19" t="n">
        <v>1</v>
      </c>
      <c r="D70" s="15" t="s">
        <v>193</v>
      </c>
      <c r="E70" s="15" t="s">
        <v>11</v>
      </c>
      <c r="F70" s="15" t="n">
        <v>0</v>
      </c>
      <c r="G70" s="15" t="s">
        <v>153</v>
      </c>
      <c r="H70" s="15" t="s">
        <v>12</v>
      </c>
      <c r="I70" s="14" t="s">
        <v>194</v>
      </c>
      <c r="J70" s="13"/>
    </row>
    <row r="71" s="15" customFormat="true" ht="25.6" hidden="false" customHeight="false" outlineLevel="0" collapsed="false">
      <c r="A71" s="17" t="n">
        <f aca="false">HEX2DEC(B71)</f>
        <v>16475</v>
      </c>
      <c r="B71" s="18" t="s">
        <v>195</v>
      </c>
      <c r="C71" s="19" t="n">
        <v>1</v>
      </c>
      <c r="D71" s="15" t="s">
        <v>196</v>
      </c>
      <c r="E71" s="15" t="s">
        <v>11</v>
      </c>
      <c r="F71" s="15" t="n">
        <v>-1</v>
      </c>
      <c r="G71" s="15" t="s">
        <v>90</v>
      </c>
      <c r="H71" s="15" t="s">
        <v>12</v>
      </c>
      <c r="I71" s="14" t="s">
        <v>197</v>
      </c>
      <c r="J71" s="13"/>
    </row>
    <row r="72" s="15" customFormat="true" ht="25.6" hidden="false" customHeight="false" outlineLevel="0" collapsed="false">
      <c r="A72" s="17" t="n">
        <f aca="false">HEX2DEC(B72)</f>
        <v>16476</v>
      </c>
      <c r="B72" s="18" t="s">
        <v>198</v>
      </c>
      <c r="C72" s="19" t="n">
        <v>1</v>
      </c>
      <c r="D72" s="15" t="s">
        <v>199</v>
      </c>
      <c r="E72" s="15" t="s">
        <v>11</v>
      </c>
      <c r="F72" s="15" t="n">
        <v>-2</v>
      </c>
      <c r="G72" s="15" t="s">
        <v>94</v>
      </c>
      <c r="H72" s="15" t="s">
        <v>12</v>
      </c>
      <c r="I72" s="14" t="s">
        <v>200</v>
      </c>
      <c r="J72" s="13"/>
    </row>
    <row r="73" s="15" customFormat="true" ht="25.6" hidden="false" customHeight="false" outlineLevel="0" collapsed="false">
      <c r="A73" s="17" t="n">
        <f aca="false">HEX2DEC(B73)</f>
        <v>16477</v>
      </c>
      <c r="B73" s="18" t="s">
        <v>201</v>
      </c>
      <c r="C73" s="19" t="n">
        <v>1</v>
      </c>
      <c r="D73" s="15" t="s">
        <v>202</v>
      </c>
      <c r="E73" s="15" t="s">
        <v>11</v>
      </c>
      <c r="F73" s="15" t="n">
        <v>-2</v>
      </c>
      <c r="G73" s="15" t="s">
        <v>97</v>
      </c>
      <c r="H73" s="15" t="s">
        <v>12</v>
      </c>
      <c r="I73" s="14" t="s">
        <v>203</v>
      </c>
      <c r="J73" s="13"/>
    </row>
    <row r="74" s="15" customFormat="true" ht="15" hidden="false" customHeight="false" outlineLevel="0" collapsed="false">
      <c r="A74" s="17" t="n">
        <f aca="false">HEX2DEC(B74)</f>
        <v>16478</v>
      </c>
      <c r="B74" s="18" t="s">
        <v>204</v>
      </c>
      <c r="C74" s="19" t="n">
        <v>1</v>
      </c>
      <c r="D74" s="15" t="s">
        <v>205</v>
      </c>
      <c r="E74" s="15" t="s">
        <v>30</v>
      </c>
      <c r="F74" s="15" t="n">
        <v>0</v>
      </c>
      <c r="G74" s="15" t="s">
        <v>188</v>
      </c>
      <c r="H74" s="15" t="s">
        <v>12</v>
      </c>
      <c r="I74" s="15" t="s">
        <v>206</v>
      </c>
      <c r="J74" s="13"/>
    </row>
    <row r="75" s="15" customFormat="true" ht="25.6" hidden="false" customHeight="false" outlineLevel="0" collapsed="false">
      <c r="A75" s="17" t="n">
        <f aca="false">HEX2DEC(B75)</f>
        <v>16479</v>
      </c>
      <c r="B75" s="18" t="s">
        <v>207</v>
      </c>
      <c r="C75" s="19" t="n">
        <v>1</v>
      </c>
      <c r="D75" s="15" t="s">
        <v>208</v>
      </c>
      <c r="E75" s="15" t="s">
        <v>11</v>
      </c>
      <c r="F75" s="15" t="n">
        <v>0</v>
      </c>
      <c r="G75" s="15" t="s">
        <v>102</v>
      </c>
      <c r="H75" s="15" t="s">
        <v>12</v>
      </c>
      <c r="I75" s="14" t="s">
        <v>209</v>
      </c>
      <c r="J75" s="13"/>
    </row>
    <row r="76" s="15" customFormat="true" ht="25.6" hidden="false" customHeight="false" outlineLevel="0" collapsed="false">
      <c r="A76" s="17" t="n">
        <f aca="false">HEX2DEC(B76)</f>
        <v>16480</v>
      </c>
      <c r="B76" s="18" t="n">
        <v>4060</v>
      </c>
      <c r="C76" s="19" t="n">
        <v>1</v>
      </c>
      <c r="D76" s="15" t="s">
        <v>210</v>
      </c>
      <c r="E76" s="15" t="s">
        <v>11</v>
      </c>
      <c r="F76" s="15" t="n">
        <v>0</v>
      </c>
      <c r="G76" s="15" t="s">
        <v>153</v>
      </c>
      <c r="H76" s="15" t="s">
        <v>12</v>
      </c>
      <c r="I76" s="14" t="s">
        <v>211</v>
      </c>
      <c r="J76" s="13"/>
    </row>
    <row r="77" s="15" customFormat="true" ht="25.6" hidden="false" customHeight="false" outlineLevel="0" collapsed="false">
      <c r="A77" s="17" t="n">
        <f aca="false">HEX2DEC(B77)</f>
        <v>16481</v>
      </c>
      <c r="B77" s="18" t="n">
        <v>4061</v>
      </c>
      <c r="C77" s="19" t="n">
        <v>1</v>
      </c>
      <c r="D77" s="15" t="s">
        <v>212</v>
      </c>
      <c r="E77" s="15" t="s">
        <v>11</v>
      </c>
      <c r="F77" s="15" t="n">
        <v>-1</v>
      </c>
      <c r="G77" s="15" t="s">
        <v>90</v>
      </c>
      <c r="H77" s="15" t="s">
        <v>12</v>
      </c>
      <c r="I77" s="14" t="s">
        <v>213</v>
      </c>
      <c r="J77" s="13"/>
    </row>
    <row r="78" s="15" customFormat="true" ht="25.6" hidden="false" customHeight="false" outlineLevel="0" collapsed="false">
      <c r="A78" s="17" t="n">
        <f aca="false">HEX2DEC(B78)</f>
        <v>16482</v>
      </c>
      <c r="B78" s="18" t="n">
        <v>4062</v>
      </c>
      <c r="C78" s="19" t="n">
        <v>1</v>
      </c>
      <c r="D78" s="15" t="s">
        <v>214</v>
      </c>
      <c r="E78" s="15" t="s">
        <v>11</v>
      </c>
      <c r="F78" s="15" t="n">
        <v>-2</v>
      </c>
      <c r="G78" s="15" t="s">
        <v>94</v>
      </c>
      <c r="H78" s="15" t="s">
        <v>12</v>
      </c>
      <c r="I78" s="14" t="s">
        <v>215</v>
      </c>
      <c r="J78" s="13"/>
    </row>
    <row r="79" s="15" customFormat="true" ht="25.6" hidden="false" customHeight="false" outlineLevel="0" collapsed="false">
      <c r="A79" s="17" t="n">
        <f aca="false">HEX2DEC(B79)</f>
        <v>16483</v>
      </c>
      <c r="B79" s="18" t="n">
        <v>4063</v>
      </c>
      <c r="C79" s="19" t="n">
        <v>1</v>
      </c>
      <c r="D79" s="15" t="s">
        <v>216</v>
      </c>
      <c r="E79" s="15" t="s">
        <v>11</v>
      </c>
      <c r="F79" s="15" t="n">
        <v>-2</v>
      </c>
      <c r="G79" s="15" t="s">
        <v>97</v>
      </c>
      <c r="H79" s="15" t="s">
        <v>12</v>
      </c>
      <c r="I79" s="14" t="s">
        <v>217</v>
      </c>
      <c r="J79" s="13"/>
    </row>
    <row r="80" s="15" customFormat="true" ht="25.6" hidden="false" customHeight="false" outlineLevel="0" collapsed="false">
      <c r="A80" s="17" t="n">
        <f aca="false">HEX2DEC(B80)</f>
        <v>16484</v>
      </c>
      <c r="B80" s="18" t="n">
        <v>4064</v>
      </c>
      <c r="C80" s="19" t="n">
        <v>1</v>
      </c>
      <c r="D80" s="15" t="s">
        <v>218</v>
      </c>
      <c r="E80" s="15" t="s">
        <v>30</v>
      </c>
      <c r="F80" s="15" t="n">
        <v>0</v>
      </c>
      <c r="G80" s="15" t="s">
        <v>188</v>
      </c>
      <c r="H80" s="15" t="s">
        <v>12</v>
      </c>
      <c r="I80" s="14" t="s">
        <v>219</v>
      </c>
      <c r="J80" s="13"/>
    </row>
    <row r="81" s="15" customFormat="true" ht="25.6" hidden="false" customHeight="false" outlineLevel="0" collapsed="false">
      <c r="A81" s="17" t="n">
        <f aca="false">HEX2DEC(B81)</f>
        <v>16485</v>
      </c>
      <c r="B81" s="18" t="n">
        <v>4065</v>
      </c>
      <c r="C81" s="19" t="n">
        <v>1</v>
      </c>
      <c r="D81" s="15" t="s">
        <v>220</v>
      </c>
      <c r="E81" s="15" t="s">
        <v>11</v>
      </c>
      <c r="F81" s="15" t="n">
        <v>0</v>
      </c>
      <c r="G81" s="15" t="s">
        <v>102</v>
      </c>
      <c r="H81" s="15" t="s">
        <v>12</v>
      </c>
      <c r="I81" s="14" t="s">
        <v>221</v>
      </c>
      <c r="J81" s="13"/>
    </row>
    <row r="82" s="15" customFormat="true" ht="25.6" hidden="false" customHeight="false" outlineLevel="0" collapsed="false">
      <c r="A82" s="17" t="n">
        <f aca="false">HEX2DEC(B82)</f>
        <v>16486</v>
      </c>
      <c r="B82" s="18" t="n">
        <v>4066</v>
      </c>
      <c r="C82" s="19" t="n">
        <v>1</v>
      </c>
      <c r="D82" s="15" t="s">
        <v>222</v>
      </c>
      <c r="E82" s="15" t="s">
        <v>11</v>
      </c>
      <c r="F82" s="15" t="n">
        <v>0</v>
      </c>
      <c r="G82" s="15" t="s">
        <v>153</v>
      </c>
      <c r="H82" s="15" t="s">
        <v>12</v>
      </c>
      <c r="I82" s="14" t="s">
        <v>223</v>
      </c>
      <c r="J82" s="13"/>
    </row>
    <row r="83" s="32" customFormat="true" ht="15" hidden="false" customHeight="false" outlineLevel="0" collapsed="false">
      <c r="A83" s="29" t="n">
        <f aca="false">HEX2DEC(B83)</f>
        <v>16487</v>
      </c>
      <c r="B83" s="30" t="n">
        <v>4067</v>
      </c>
      <c r="C83" s="31" t="n">
        <v>1</v>
      </c>
      <c r="D83" s="32" t="s">
        <v>224</v>
      </c>
      <c r="E83" s="32" t="s">
        <v>11</v>
      </c>
      <c r="F83" s="32" t="n">
        <v>-1</v>
      </c>
      <c r="G83" s="32" t="s">
        <v>90</v>
      </c>
      <c r="H83" s="32" t="s">
        <v>12</v>
      </c>
      <c r="I83" s="32" t="s">
        <v>225</v>
      </c>
      <c r="J83" s="33" t="s">
        <v>226</v>
      </c>
    </row>
    <row r="84" s="32" customFormat="true" ht="15" hidden="false" customHeight="false" outlineLevel="0" collapsed="false">
      <c r="A84" s="29" t="n">
        <f aca="false">HEX2DEC(B84)</f>
        <v>16488</v>
      </c>
      <c r="B84" s="30" t="n">
        <v>4068</v>
      </c>
      <c r="C84" s="31" t="n">
        <v>1</v>
      </c>
      <c r="D84" s="32" t="s">
        <v>227</v>
      </c>
      <c r="E84" s="32" t="s">
        <v>11</v>
      </c>
      <c r="F84" s="32" t="n">
        <v>-1</v>
      </c>
      <c r="G84" s="32" t="s">
        <v>90</v>
      </c>
      <c r="H84" s="32" t="s">
        <v>12</v>
      </c>
      <c r="I84" s="32" t="s">
        <v>228</v>
      </c>
      <c r="J84" s="33"/>
    </row>
    <row r="85" s="25" customFormat="true" ht="25.6" hidden="false" customHeight="false" outlineLevel="0" collapsed="false">
      <c r="A85" s="22" t="n">
        <f aca="false">HEX2DEC(B85)</f>
        <v>16489</v>
      </c>
      <c r="B85" s="23" t="n">
        <v>4069</v>
      </c>
      <c r="C85" s="24" t="n">
        <v>1</v>
      </c>
      <c r="D85" s="25" t="s">
        <v>229</v>
      </c>
      <c r="E85" s="25" t="s">
        <v>11</v>
      </c>
      <c r="F85" s="25" t="n">
        <v>-1</v>
      </c>
      <c r="G85" s="25" t="s">
        <v>90</v>
      </c>
      <c r="H85" s="25" t="s">
        <v>12</v>
      </c>
      <c r="I85" s="27" t="s">
        <v>230</v>
      </c>
      <c r="J85" s="34" t="s">
        <v>231</v>
      </c>
    </row>
    <row r="86" s="25" customFormat="true" ht="25.6" hidden="false" customHeight="false" outlineLevel="0" collapsed="false">
      <c r="A86" s="22" t="n">
        <f aca="false">HEX2DEC(B86)</f>
        <v>16490</v>
      </c>
      <c r="B86" s="23" t="s">
        <v>232</v>
      </c>
      <c r="C86" s="24" t="n">
        <v>1</v>
      </c>
      <c r="D86" s="25" t="s">
        <v>233</v>
      </c>
      <c r="E86" s="25" t="s">
        <v>30</v>
      </c>
      <c r="F86" s="25" t="n">
        <v>-2</v>
      </c>
      <c r="G86" s="25" t="s">
        <v>94</v>
      </c>
      <c r="H86" s="25" t="s">
        <v>12</v>
      </c>
      <c r="I86" s="27" t="s">
        <v>234</v>
      </c>
      <c r="J86" s="34"/>
    </row>
    <row r="87" s="25" customFormat="true" ht="25.6" hidden="false" customHeight="false" outlineLevel="0" collapsed="false">
      <c r="A87" s="22" t="n">
        <f aca="false">HEX2DEC(B87)</f>
        <v>16491</v>
      </c>
      <c r="B87" s="23" t="s">
        <v>235</v>
      </c>
      <c r="C87" s="24" t="n">
        <v>1</v>
      </c>
      <c r="D87" s="25" t="s">
        <v>236</v>
      </c>
      <c r="E87" s="25" t="s">
        <v>30</v>
      </c>
      <c r="F87" s="25" t="n">
        <v>-2</v>
      </c>
      <c r="G87" s="25" t="s">
        <v>94</v>
      </c>
      <c r="H87" s="25" t="s">
        <v>12</v>
      </c>
      <c r="I87" s="27" t="s">
        <v>237</v>
      </c>
      <c r="J87" s="34"/>
    </row>
    <row r="88" s="25" customFormat="true" ht="25.6" hidden="false" customHeight="false" outlineLevel="0" collapsed="false">
      <c r="A88" s="22" t="n">
        <f aca="false">HEX2DEC(B88)</f>
        <v>16492</v>
      </c>
      <c r="B88" s="23" t="s">
        <v>238</v>
      </c>
      <c r="C88" s="24" t="n">
        <v>1</v>
      </c>
      <c r="D88" s="25" t="s">
        <v>239</v>
      </c>
      <c r="E88" s="25" t="s">
        <v>30</v>
      </c>
      <c r="F88" s="25" t="n">
        <v>-2</v>
      </c>
      <c r="G88" s="25" t="s">
        <v>94</v>
      </c>
      <c r="H88" s="25" t="s">
        <v>12</v>
      </c>
      <c r="I88" s="27" t="s">
        <v>240</v>
      </c>
      <c r="J88" s="34"/>
    </row>
    <row r="89" s="25" customFormat="true" ht="15" hidden="false" customHeight="false" outlineLevel="0" collapsed="false">
      <c r="A89" s="22" t="n">
        <f aca="false">HEX2DEC(B89)</f>
        <v>16493</v>
      </c>
      <c r="B89" s="23" t="s">
        <v>241</v>
      </c>
      <c r="C89" s="24" t="n">
        <v>1</v>
      </c>
      <c r="D89" s="25" t="s">
        <v>242</v>
      </c>
      <c r="E89" s="25" t="s">
        <v>30</v>
      </c>
      <c r="F89" s="25" t="n">
        <v>0</v>
      </c>
      <c r="G89" s="25" t="s">
        <v>102</v>
      </c>
      <c r="H89" s="25" t="s">
        <v>12</v>
      </c>
      <c r="I89" s="25" t="s">
        <v>243</v>
      </c>
      <c r="J89" s="34"/>
    </row>
    <row r="90" s="25" customFormat="true" ht="25.6" hidden="false" customHeight="false" outlineLevel="0" collapsed="false">
      <c r="A90" s="22" t="n">
        <f aca="false">HEX2DEC(B90)</f>
        <v>16494</v>
      </c>
      <c r="B90" s="23" t="s">
        <v>244</v>
      </c>
      <c r="C90" s="24" t="n">
        <v>1</v>
      </c>
      <c r="D90" s="25" t="s">
        <v>245</v>
      </c>
      <c r="E90" s="25" t="s">
        <v>30</v>
      </c>
      <c r="F90" s="25" t="n">
        <v>-1</v>
      </c>
      <c r="G90" s="25" t="s">
        <v>31</v>
      </c>
      <c r="H90" s="25" t="s">
        <v>12</v>
      </c>
      <c r="I90" s="27" t="s">
        <v>246</v>
      </c>
      <c r="J90" s="34"/>
    </row>
    <row r="91" s="25" customFormat="true" ht="15" hidden="false" customHeight="false" outlineLevel="0" collapsed="false">
      <c r="A91" s="22" t="n">
        <f aca="false">HEX2DEC(B91)</f>
        <v>16495</v>
      </c>
      <c r="B91" s="23" t="s">
        <v>247</v>
      </c>
      <c r="C91" s="24" t="n">
        <v>1</v>
      </c>
      <c r="D91" s="25" t="s">
        <v>248</v>
      </c>
      <c r="E91" s="25" t="s">
        <v>11</v>
      </c>
      <c r="F91" s="25" t="n">
        <v>-2</v>
      </c>
      <c r="G91" s="25" t="s">
        <v>74</v>
      </c>
      <c r="H91" s="25" t="s">
        <v>12</v>
      </c>
      <c r="I91" s="25" t="s">
        <v>249</v>
      </c>
      <c r="J91" s="34"/>
    </row>
    <row r="92" s="15" customFormat="true" ht="15" hidden="false" customHeight="false" outlineLevel="0" collapsed="false">
      <c r="A92" s="17" t="n">
        <f aca="false">HEX2DEC(B92)</f>
        <v>16496</v>
      </c>
      <c r="B92" s="18" t="n">
        <v>4070</v>
      </c>
      <c r="C92" s="19" t="n">
        <v>1</v>
      </c>
      <c r="D92" s="15" t="s">
        <v>23</v>
      </c>
      <c r="E92" s="15" t="s">
        <v>11</v>
      </c>
      <c r="F92" s="15" t="n">
        <v>0</v>
      </c>
      <c r="H92" s="15" t="s">
        <v>12</v>
      </c>
      <c r="I92" s="15" t="s">
        <v>23</v>
      </c>
      <c r="J92" s="13" t="s">
        <v>250</v>
      </c>
    </row>
    <row r="93" s="15" customFormat="true" ht="15" hidden="false" customHeight="false" outlineLevel="0" collapsed="false">
      <c r="A93" s="17" t="n">
        <f aca="false">HEX2DEC(B93)</f>
        <v>16497</v>
      </c>
      <c r="B93" s="18" t="n">
        <v>4071</v>
      </c>
      <c r="C93" s="19" t="n">
        <v>1</v>
      </c>
      <c r="D93" s="15" t="s">
        <v>251</v>
      </c>
      <c r="E93" s="15" t="s">
        <v>39</v>
      </c>
      <c r="F93" s="15" t="n">
        <v>-1</v>
      </c>
      <c r="G93" s="15" t="s">
        <v>90</v>
      </c>
      <c r="H93" s="15" t="s">
        <v>12</v>
      </c>
      <c r="I93" s="15" t="s">
        <v>252</v>
      </c>
      <c r="J93" s="13"/>
    </row>
    <row r="94" s="15" customFormat="true" ht="15" hidden="false" customHeight="false" outlineLevel="0" collapsed="false">
      <c r="A94" s="17" t="n">
        <f aca="false">HEX2DEC(B94)</f>
        <v>16498</v>
      </c>
      <c r="B94" s="18" t="n">
        <v>4072</v>
      </c>
      <c r="C94" s="19" t="n">
        <v>1</v>
      </c>
      <c r="D94" s="15" t="s">
        <v>253</v>
      </c>
      <c r="E94" s="15" t="s">
        <v>39</v>
      </c>
      <c r="F94" s="15" t="n">
        <v>-2</v>
      </c>
      <c r="G94" s="15" t="s">
        <v>94</v>
      </c>
      <c r="H94" s="15" t="s">
        <v>12</v>
      </c>
      <c r="I94" s="15" t="s">
        <v>254</v>
      </c>
      <c r="J94" s="13"/>
    </row>
    <row r="95" s="15" customFormat="true" ht="15" hidden="false" customHeight="false" outlineLevel="0" collapsed="false">
      <c r="A95" s="17" t="n">
        <f aca="false">HEX2DEC(B95)</f>
        <v>16499</v>
      </c>
      <c r="B95" s="18" t="n">
        <v>4073</v>
      </c>
      <c r="C95" s="19" t="n">
        <v>1</v>
      </c>
      <c r="D95" s="15" t="s">
        <v>255</v>
      </c>
      <c r="E95" s="15" t="s">
        <v>39</v>
      </c>
      <c r="F95" s="15" t="n">
        <v>0</v>
      </c>
      <c r="G95" s="15" t="s">
        <v>102</v>
      </c>
      <c r="H95" s="15" t="s">
        <v>12</v>
      </c>
      <c r="I95" s="15" t="s">
        <v>256</v>
      </c>
      <c r="J95" s="13"/>
    </row>
    <row r="96" s="15" customFormat="true" ht="15" hidden="false" customHeight="false" outlineLevel="0" collapsed="false">
      <c r="A96" s="17" t="n">
        <f aca="false">HEX2DEC(B96)</f>
        <v>16500</v>
      </c>
      <c r="B96" s="18" t="n">
        <v>4074</v>
      </c>
      <c r="C96" s="19" t="n">
        <v>1</v>
      </c>
      <c r="D96" s="15" t="s">
        <v>257</v>
      </c>
      <c r="E96" s="15" t="s">
        <v>39</v>
      </c>
      <c r="F96" s="15" t="n">
        <v>-1</v>
      </c>
      <c r="G96" s="15" t="s">
        <v>90</v>
      </c>
      <c r="H96" s="15" t="s">
        <v>12</v>
      </c>
      <c r="I96" s="15" t="s">
        <v>258</v>
      </c>
      <c r="J96" s="13"/>
    </row>
    <row r="97" s="15" customFormat="true" ht="15" hidden="false" customHeight="false" outlineLevel="0" collapsed="false">
      <c r="A97" s="17" t="n">
        <f aca="false">HEX2DEC(B97)</f>
        <v>16501</v>
      </c>
      <c r="B97" s="18" t="n">
        <v>4075</v>
      </c>
      <c r="C97" s="19" t="n">
        <v>1</v>
      </c>
      <c r="D97" s="15" t="s">
        <v>259</v>
      </c>
      <c r="E97" s="15" t="s">
        <v>39</v>
      </c>
      <c r="F97" s="15" t="n">
        <v>-2</v>
      </c>
      <c r="G97" s="15" t="s">
        <v>94</v>
      </c>
      <c r="H97" s="15" t="s">
        <v>12</v>
      </c>
      <c r="I97" s="15" t="s">
        <v>260</v>
      </c>
      <c r="J97" s="13"/>
    </row>
    <row r="98" s="15" customFormat="true" ht="15" hidden="false" customHeight="false" outlineLevel="0" collapsed="false">
      <c r="A98" s="17" t="n">
        <f aca="false">HEX2DEC(B98)</f>
        <v>16502</v>
      </c>
      <c r="B98" s="18" t="n">
        <v>4076</v>
      </c>
      <c r="C98" s="19" t="n">
        <v>1</v>
      </c>
      <c r="D98" s="15" t="s">
        <v>261</v>
      </c>
      <c r="E98" s="15" t="s">
        <v>39</v>
      </c>
      <c r="F98" s="15" t="n">
        <v>0</v>
      </c>
      <c r="G98" s="15" t="s">
        <v>102</v>
      </c>
      <c r="H98" s="15" t="s">
        <v>12</v>
      </c>
      <c r="I98" s="15" t="s">
        <v>262</v>
      </c>
      <c r="J98" s="13"/>
    </row>
    <row r="99" s="15" customFormat="true" ht="15" hidden="false" customHeight="false" outlineLevel="0" collapsed="false">
      <c r="A99" s="17" t="n">
        <f aca="false">HEX2DEC(B99)</f>
        <v>16503</v>
      </c>
      <c r="B99" s="18" t="n">
        <v>4077</v>
      </c>
      <c r="C99" s="19" t="n">
        <v>1</v>
      </c>
      <c r="D99" s="15" t="s">
        <v>263</v>
      </c>
      <c r="E99" s="15" t="s">
        <v>39</v>
      </c>
      <c r="F99" s="15" t="n">
        <v>-1</v>
      </c>
      <c r="G99" s="15" t="s">
        <v>90</v>
      </c>
      <c r="H99" s="15" t="s">
        <v>12</v>
      </c>
      <c r="I99" s="15" t="s">
        <v>264</v>
      </c>
      <c r="J99" s="13"/>
    </row>
    <row r="100" s="15" customFormat="true" ht="15" hidden="false" customHeight="false" outlineLevel="0" collapsed="false">
      <c r="A100" s="17" t="n">
        <f aca="false">HEX2DEC(B100)</f>
        <v>16504</v>
      </c>
      <c r="B100" s="18" t="n">
        <v>4078</v>
      </c>
      <c r="C100" s="19" t="n">
        <v>1</v>
      </c>
      <c r="D100" s="15" t="s">
        <v>265</v>
      </c>
      <c r="E100" s="15" t="s">
        <v>39</v>
      </c>
      <c r="F100" s="15" t="n">
        <v>-2</v>
      </c>
      <c r="G100" s="15" t="s">
        <v>94</v>
      </c>
      <c r="H100" s="15" t="s">
        <v>12</v>
      </c>
      <c r="I100" s="15" t="s">
        <v>266</v>
      </c>
      <c r="J100" s="13"/>
    </row>
    <row r="101" s="15" customFormat="true" ht="15" hidden="false" customHeight="false" outlineLevel="0" collapsed="false">
      <c r="A101" s="17" t="n">
        <f aca="false">HEX2DEC(B101)</f>
        <v>16505</v>
      </c>
      <c r="B101" s="18" t="n">
        <v>4079</v>
      </c>
      <c r="C101" s="19" t="n">
        <v>1</v>
      </c>
      <c r="D101" s="15" t="s">
        <v>267</v>
      </c>
      <c r="E101" s="15" t="s">
        <v>39</v>
      </c>
      <c r="F101" s="15" t="n">
        <v>0</v>
      </c>
      <c r="G101" s="15" t="s">
        <v>102</v>
      </c>
      <c r="H101" s="15" t="s">
        <v>12</v>
      </c>
      <c r="I101" s="15" t="s">
        <v>268</v>
      </c>
      <c r="J101" s="13"/>
    </row>
    <row r="102" s="15" customFormat="true" ht="15" hidden="false" customHeight="false" outlineLevel="0" collapsed="false">
      <c r="A102" s="17" t="n">
        <f aca="false">HEX2DEC(B102)</f>
        <v>16506</v>
      </c>
      <c r="B102" s="18" t="s">
        <v>269</v>
      </c>
      <c r="C102" s="19" t="n">
        <v>1</v>
      </c>
      <c r="D102" s="15" t="s">
        <v>270</v>
      </c>
      <c r="E102" s="15" t="s">
        <v>39</v>
      </c>
      <c r="F102" s="15" t="n">
        <v>-1</v>
      </c>
      <c r="G102" s="15" t="s">
        <v>90</v>
      </c>
      <c r="H102" s="15" t="s">
        <v>12</v>
      </c>
      <c r="I102" s="15" t="s">
        <v>271</v>
      </c>
      <c r="J102" s="13"/>
    </row>
    <row r="103" s="15" customFormat="true" ht="15" hidden="false" customHeight="false" outlineLevel="0" collapsed="false">
      <c r="A103" s="17" t="n">
        <f aca="false">HEX2DEC(B103)</f>
        <v>16507</v>
      </c>
      <c r="B103" s="18" t="s">
        <v>272</v>
      </c>
      <c r="C103" s="19" t="n">
        <v>1</v>
      </c>
      <c r="D103" s="15" t="s">
        <v>273</v>
      </c>
      <c r="E103" s="15" t="s">
        <v>39</v>
      </c>
      <c r="F103" s="15" t="n">
        <v>-2</v>
      </c>
      <c r="G103" s="15" t="s">
        <v>94</v>
      </c>
      <c r="H103" s="15" t="s">
        <v>12</v>
      </c>
      <c r="I103" s="15" t="s">
        <v>274</v>
      </c>
      <c r="J103" s="13"/>
    </row>
    <row r="104" s="15" customFormat="true" ht="15" hidden="false" customHeight="false" outlineLevel="0" collapsed="false">
      <c r="A104" s="17" t="n">
        <f aca="false">HEX2DEC(B104)</f>
        <v>16508</v>
      </c>
      <c r="B104" s="18" t="s">
        <v>275</v>
      </c>
      <c r="C104" s="19" t="n">
        <v>1</v>
      </c>
      <c r="D104" s="15" t="s">
        <v>276</v>
      </c>
      <c r="E104" s="15" t="s">
        <v>39</v>
      </c>
      <c r="F104" s="15" t="n">
        <v>0</v>
      </c>
      <c r="G104" s="15" t="s">
        <v>102</v>
      </c>
      <c r="H104" s="15" t="s">
        <v>12</v>
      </c>
      <c r="I104" s="15" t="s">
        <v>277</v>
      </c>
      <c r="J104" s="13"/>
    </row>
    <row r="105" s="32" customFormat="true" ht="25.6" hidden="false" customHeight="false" outlineLevel="0" collapsed="false">
      <c r="A105" s="29" t="n">
        <f aca="false">HEX2DEC(B105)</f>
        <v>16525</v>
      </c>
      <c r="B105" s="30" t="s">
        <v>278</v>
      </c>
      <c r="C105" s="31" t="n">
        <v>1</v>
      </c>
      <c r="D105" s="32" t="s">
        <v>279</v>
      </c>
      <c r="E105" s="32" t="s">
        <v>11</v>
      </c>
      <c r="F105" s="32" t="n">
        <v>-1</v>
      </c>
      <c r="G105" s="32" t="s">
        <v>90</v>
      </c>
      <c r="H105" s="32" t="s">
        <v>12</v>
      </c>
      <c r="I105" s="35" t="s">
        <v>280</v>
      </c>
      <c r="J105" s="33" t="s">
        <v>281</v>
      </c>
    </row>
    <row r="106" s="32" customFormat="true" ht="25.6" hidden="false" customHeight="false" outlineLevel="0" collapsed="false">
      <c r="A106" s="29" t="n">
        <f aca="false">HEX2DEC(B106)</f>
        <v>16526</v>
      </c>
      <c r="B106" s="30" t="s">
        <v>282</v>
      </c>
      <c r="C106" s="31" t="n">
        <v>1</v>
      </c>
      <c r="D106" s="32" t="s">
        <v>283</v>
      </c>
      <c r="E106" s="32" t="s">
        <v>11</v>
      </c>
      <c r="F106" s="32" t="n">
        <v>-2</v>
      </c>
      <c r="G106" s="32" t="s">
        <v>94</v>
      </c>
      <c r="H106" s="32" t="s">
        <v>12</v>
      </c>
      <c r="I106" s="35" t="s">
        <v>284</v>
      </c>
      <c r="J106" s="33"/>
    </row>
    <row r="107" s="32" customFormat="true" ht="25.6" hidden="false" customHeight="false" outlineLevel="0" collapsed="false">
      <c r="A107" s="29" t="n">
        <f aca="false">HEX2DEC(B107)</f>
        <v>16527</v>
      </c>
      <c r="B107" s="30" t="s">
        <v>285</v>
      </c>
      <c r="C107" s="31" t="n">
        <v>1</v>
      </c>
      <c r="D107" s="32" t="s">
        <v>286</v>
      </c>
      <c r="E107" s="32" t="s">
        <v>11</v>
      </c>
      <c r="F107" s="32" t="n">
        <v>-2</v>
      </c>
      <c r="G107" s="32" t="s">
        <v>97</v>
      </c>
      <c r="H107" s="32" t="s">
        <v>12</v>
      </c>
      <c r="I107" s="35" t="s">
        <v>287</v>
      </c>
      <c r="J107" s="33"/>
    </row>
    <row r="108" s="32" customFormat="true" ht="25.6" hidden="false" customHeight="false" outlineLevel="0" collapsed="false">
      <c r="A108" s="29" t="n">
        <f aca="false">HEX2DEC(B108)</f>
        <v>16528</v>
      </c>
      <c r="B108" s="30" t="n">
        <v>4090</v>
      </c>
      <c r="C108" s="31" t="n">
        <v>1</v>
      </c>
      <c r="D108" s="32" t="s">
        <v>288</v>
      </c>
      <c r="E108" s="32" t="s">
        <v>11</v>
      </c>
      <c r="F108" s="32" t="n">
        <v>0</v>
      </c>
      <c r="G108" s="32" t="s">
        <v>102</v>
      </c>
      <c r="H108" s="32" t="s">
        <v>12</v>
      </c>
      <c r="I108" s="35" t="s">
        <v>289</v>
      </c>
      <c r="J108" s="33"/>
    </row>
    <row r="109" s="32" customFormat="true" ht="25.6" hidden="false" customHeight="false" outlineLevel="0" collapsed="false">
      <c r="A109" s="29" t="n">
        <f aca="false">HEX2DEC(B109)</f>
        <v>16529</v>
      </c>
      <c r="B109" s="30" t="n">
        <v>4091</v>
      </c>
      <c r="C109" s="31" t="n">
        <v>1</v>
      </c>
      <c r="D109" s="32" t="s">
        <v>290</v>
      </c>
      <c r="E109" s="32" t="s">
        <v>11</v>
      </c>
      <c r="F109" s="32" t="n">
        <v>-2</v>
      </c>
      <c r="G109" s="32" t="s">
        <v>94</v>
      </c>
      <c r="H109" s="32" t="s">
        <v>12</v>
      </c>
      <c r="I109" s="35" t="s">
        <v>291</v>
      </c>
      <c r="J109" s="33"/>
    </row>
    <row r="110" s="32" customFormat="true" ht="25.6" hidden="false" customHeight="false" outlineLevel="0" collapsed="false">
      <c r="A110" s="29" t="n">
        <f aca="false">HEX2DEC(B110)</f>
        <v>16530</v>
      </c>
      <c r="B110" s="30" t="n">
        <v>4092</v>
      </c>
      <c r="C110" s="31" t="n">
        <v>1</v>
      </c>
      <c r="D110" s="32" t="s">
        <v>292</v>
      </c>
      <c r="E110" s="32" t="s">
        <v>11</v>
      </c>
      <c r="F110" s="32" t="n">
        <v>0</v>
      </c>
      <c r="G110" s="32" t="s">
        <v>102</v>
      </c>
      <c r="H110" s="32" t="s">
        <v>12</v>
      </c>
      <c r="I110" s="35" t="s">
        <v>293</v>
      </c>
      <c r="J110" s="33"/>
    </row>
    <row r="111" s="32" customFormat="true" ht="25.6" hidden="false" customHeight="false" outlineLevel="0" collapsed="false">
      <c r="A111" s="29" t="n">
        <f aca="false">HEX2DEC(B111)</f>
        <v>16531</v>
      </c>
      <c r="B111" s="30" t="n">
        <v>4093</v>
      </c>
      <c r="C111" s="31" t="n">
        <v>1</v>
      </c>
      <c r="D111" s="32" t="s">
        <v>294</v>
      </c>
      <c r="E111" s="32" t="s">
        <v>11</v>
      </c>
      <c r="F111" s="32" t="n">
        <v>-2</v>
      </c>
      <c r="G111" s="32" t="s">
        <v>94</v>
      </c>
      <c r="H111" s="32" t="s">
        <v>12</v>
      </c>
      <c r="I111" s="35" t="s">
        <v>295</v>
      </c>
      <c r="J111" s="33"/>
    </row>
    <row r="112" s="32" customFormat="true" ht="37.8" hidden="false" customHeight="false" outlineLevel="0" collapsed="false">
      <c r="A112" s="29" t="n">
        <f aca="false">HEX2DEC(B112)</f>
        <v>16532</v>
      </c>
      <c r="B112" s="30" t="n">
        <v>4094</v>
      </c>
      <c r="C112" s="31" t="n">
        <v>1</v>
      </c>
      <c r="D112" s="32" t="s">
        <v>296</v>
      </c>
      <c r="E112" s="32" t="s">
        <v>11</v>
      </c>
      <c r="F112" s="32" t="n">
        <v>0</v>
      </c>
      <c r="G112" s="32" t="s">
        <v>102</v>
      </c>
      <c r="H112" s="32" t="s">
        <v>12</v>
      </c>
      <c r="I112" s="36" t="s">
        <v>297</v>
      </c>
      <c r="J112" s="33"/>
    </row>
    <row r="113" s="15" customFormat="true" ht="25.6" hidden="false" customHeight="false" outlineLevel="0" collapsed="false">
      <c r="A113" s="17" t="n">
        <f aca="false">HEX2DEC(B113)</f>
        <v>16533</v>
      </c>
      <c r="B113" s="18" t="n">
        <v>4095</v>
      </c>
      <c r="C113" s="19" t="n">
        <v>1</v>
      </c>
      <c r="D113" s="15" t="s">
        <v>298</v>
      </c>
      <c r="E113" s="15" t="s">
        <v>11</v>
      </c>
      <c r="F113" s="15" t="n">
        <v>0</v>
      </c>
      <c r="H113" s="15" t="s">
        <v>12</v>
      </c>
      <c r="I113" s="14" t="s">
        <v>299</v>
      </c>
      <c r="J113" s="37" t="s">
        <v>300</v>
      </c>
    </row>
    <row r="114" s="15" customFormat="true" ht="25.6" hidden="false" customHeight="false" outlineLevel="0" collapsed="false">
      <c r="A114" s="17" t="n">
        <f aca="false">HEX2DEC(B114)</f>
        <v>16534</v>
      </c>
      <c r="B114" s="18" t="n">
        <v>4096</v>
      </c>
      <c r="C114" s="19" t="n">
        <v>1</v>
      </c>
      <c r="D114" s="15" t="s">
        <v>301</v>
      </c>
      <c r="E114" s="15" t="s">
        <v>302</v>
      </c>
      <c r="F114" s="15" t="n">
        <v>0</v>
      </c>
      <c r="H114" s="15" t="s">
        <v>12</v>
      </c>
      <c r="I114" s="14" t="s">
        <v>303</v>
      </c>
      <c r="J114" s="37" t="s">
        <v>304</v>
      </c>
    </row>
    <row r="115" s="15" customFormat="true" ht="37.8" hidden="false" customHeight="false" outlineLevel="0" collapsed="false">
      <c r="A115" s="17" t="n">
        <f aca="false">HEX2DEC(B115)</f>
        <v>16535</v>
      </c>
      <c r="B115" s="18" t="n">
        <v>4097</v>
      </c>
      <c r="C115" s="19" t="n">
        <v>1</v>
      </c>
      <c r="D115" s="15" t="s">
        <v>305</v>
      </c>
      <c r="E115" s="15" t="s">
        <v>302</v>
      </c>
      <c r="F115" s="15" t="n">
        <v>0</v>
      </c>
      <c r="H115" s="15" t="s">
        <v>12</v>
      </c>
      <c r="I115" s="20" t="s">
        <v>306</v>
      </c>
      <c r="J115" s="37" t="s">
        <v>307</v>
      </c>
    </row>
    <row r="116" s="15" customFormat="true" ht="25.6" hidden="false" customHeight="false" outlineLevel="0" collapsed="false">
      <c r="A116" s="17" t="n">
        <f aca="false">HEX2DEC(B116)</f>
        <v>16536</v>
      </c>
      <c r="B116" s="18" t="n">
        <v>4098</v>
      </c>
      <c r="C116" s="19" t="n">
        <v>1</v>
      </c>
      <c r="D116" s="15" t="s">
        <v>308</v>
      </c>
      <c r="E116" s="15" t="s">
        <v>11</v>
      </c>
      <c r="F116" s="15" t="n">
        <v>0</v>
      </c>
      <c r="H116" s="15" t="s">
        <v>12</v>
      </c>
      <c r="I116" s="21" t="s">
        <v>309</v>
      </c>
      <c r="J116" s="13" t="s">
        <v>310</v>
      </c>
    </row>
    <row r="117" s="25" customFormat="true" ht="25.6" hidden="false" customHeight="false" outlineLevel="0" collapsed="false">
      <c r="A117" s="22" t="n">
        <f aca="false">HEX2DEC(B117)</f>
        <v>16544</v>
      </c>
      <c r="B117" s="23" t="s">
        <v>311</v>
      </c>
      <c r="C117" s="24" t="n">
        <v>1</v>
      </c>
      <c r="D117" s="38" t="s">
        <v>312</v>
      </c>
      <c r="E117" s="25" t="s">
        <v>30</v>
      </c>
      <c r="F117" s="25" t="n">
        <v>0</v>
      </c>
      <c r="G117" s="25" t="s">
        <v>102</v>
      </c>
      <c r="H117" s="25" t="s">
        <v>12</v>
      </c>
      <c r="I117" s="27" t="s">
        <v>313</v>
      </c>
    </row>
    <row r="118" s="25" customFormat="true" ht="25.6" hidden="false" customHeight="false" outlineLevel="0" collapsed="false">
      <c r="A118" s="22" t="n">
        <f aca="false">HEX2DEC(B118)</f>
        <v>16545</v>
      </c>
      <c r="B118" s="23" t="s">
        <v>314</v>
      </c>
      <c r="C118" s="24" t="n">
        <v>1</v>
      </c>
      <c r="D118" s="25" t="s">
        <v>315</v>
      </c>
      <c r="E118" s="25" t="s">
        <v>302</v>
      </c>
      <c r="F118" s="25" t="n">
        <v>0</v>
      </c>
      <c r="G118" s="25" t="s">
        <v>102</v>
      </c>
      <c r="H118" s="25" t="s">
        <v>12</v>
      </c>
      <c r="I118" s="27" t="s">
        <v>316</v>
      </c>
      <c r="J118" s="39" t="s">
        <v>317</v>
      </c>
    </row>
    <row r="119" s="25" customFormat="true" ht="25.6" hidden="false" customHeight="false" outlineLevel="0" collapsed="false">
      <c r="A119" s="22" t="n">
        <f aca="false">HEX2DEC(B119)</f>
        <v>16546</v>
      </c>
      <c r="B119" s="23" t="s">
        <v>318</v>
      </c>
      <c r="C119" s="24" t="n">
        <v>1</v>
      </c>
      <c r="D119" s="25" t="s">
        <v>319</v>
      </c>
      <c r="E119" s="25" t="s">
        <v>302</v>
      </c>
      <c r="F119" s="25" t="n">
        <v>0</v>
      </c>
      <c r="G119" s="25" t="s">
        <v>153</v>
      </c>
      <c r="H119" s="25" t="s">
        <v>12</v>
      </c>
      <c r="I119" s="27" t="s">
        <v>320</v>
      </c>
      <c r="J119" s="39"/>
    </row>
    <row r="120" s="25" customFormat="true" ht="15" hidden="false" customHeight="false" outlineLevel="0" collapsed="false">
      <c r="A120" s="22" t="n">
        <f aca="false">HEX2DEC(B120)</f>
        <v>16547</v>
      </c>
      <c r="B120" s="23" t="s">
        <v>321</v>
      </c>
      <c r="C120" s="24" t="n">
        <v>1</v>
      </c>
      <c r="D120" s="25" t="s">
        <v>322</v>
      </c>
      <c r="E120" s="25" t="s">
        <v>302</v>
      </c>
      <c r="F120" s="25" t="n">
        <v>0</v>
      </c>
      <c r="G120" s="25" t="s">
        <v>102</v>
      </c>
      <c r="H120" s="25" t="s">
        <v>12</v>
      </c>
      <c r="I120" s="25" t="s">
        <v>323</v>
      </c>
      <c r="J120" s="39"/>
    </row>
    <row r="121" s="25" customFormat="true" ht="25.6" hidden="false" customHeight="false" outlineLevel="0" collapsed="false">
      <c r="A121" s="22" t="n">
        <f aca="false">HEX2DEC(B121)</f>
        <v>16548</v>
      </c>
      <c r="B121" s="23" t="s">
        <v>324</v>
      </c>
      <c r="C121" s="24" t="n">
        <v>1</v>
      </c>
      <c r="D121" s="25" t="s">
        <v>325</v>
      </c>
      <c r="E121" s="25" t="s">
        <v>302</v>
      </c>
      <c r="F121" s="25" t="n">
        <v>0</v>
      </c>
      <c r="G121" s="25" t="s">
        <v>153</v>
      </c>
      <c r="H121" s="25" t="s">
        <v>12</v>
      </c>
      <c r="I121" s="27" t="s">
        <v>326</v>
      </c>
      <c r="J121" s="39"/>
    </row>
    <row r="122" s="15" customFormat="true" ht="15" hidden="false" customHeight="false" outlineLevel="0" collapsed="false">
      <c r="A122" s="17" t="n">
        <f aca="false">HEX2DEC(B122)</f>
        <v>16549</v>
      </c>
      <c r="B122" s="18" t="s">
        <v>327</v>
      </c>
      <c r="C122" s="19" t="n">
        <v>1</v>
      </c>
      <c r="D122" s="38" t="s">
        <v>328</v>
      </c>
      <c r="E122" s="15" t="s">
        <v>30</v>
      </c>
      <c r="F122" s="15" t="n">
        <v>0</v>
      </c>
      <c r="G122" s="15" t="s">
        <v>102</v>
      </c>
      <c r="H122" s="15" t="s">
        <v>12</v>
      </c>
      <c r="I122" s="15" t="s">
        <v>329</v>
      </c>
    </row>
    <row r="123" s="15" customFormat="true" ht="15" hidden="false" customHeight="false" outlineLevel="0" collapsed="false">
      <c r="A123" s="17" t="n">
        <f aca="false">HEX2DEC(B123)</f>
        <v>16550</v>
      </c>
      <c r="B123" s="18" t="s">
        <v>330</v>
      </c>
      <c r="C123" s="19" t="n">
        <v>1</v>
      </c>
      <c r="D123" s="38" t="s">
        <v>331</v>
      </c>
      <c r="E123" s="15" t="s">
        <v>30</v>
      </c>
      <c r="F123" s="15" t="n">
        <v>0</v>
      </c>
      <c r="G123" s="15" t="s">
        <v>102</v>
      </c>
      <c r="H123" s="15" t="s">
        <v>12</v>
      </c>
      <c r="I123" s="15" t="s">
        <v>332</v>
      </c>
    </row>
    <row r="124" s="15" customFormat="true" ht="15" hidden="false" customHeight="false" outlineLevel="0" collapsed="false">
      <c r="A124" s="17" t="n">
        <f aca="false">HEX2DEC(B124)</f>
        <v>16551</v>
      </c>
      <c r="B124" s="18" t="s">
        <v>333</v>
      </c>
      <c r="C124" s="19" t="n">
        <v>1</v>
      </c>
      <c r="D124" s="15" t="s">
        <v>334</v>
      </c>
      <c r="E124" s="15" t="s">
        <v>30</v>
      </c>
      <c r="F124" s="15" t="n">
        <v>0</v>
      </c>
      <c r="G124" s="15" t="s">
        <v>102</v>
      </c>
      <c r="H124" s="15" t="s">
        <v>12</v>
      </c>
      <c r="I124" s="15" t="s">
        <v>335</v>
      </c>
    </row>
    <row r="125" s="15" customFormat="true" ht="25.6" hidden="false" customHeight="false" outlineLevel="0" collapsed="false">
      <c r="A125" s="17" t="n">
        <f aca="false">HEX2DEC(B125)</f>
        <v>16552</v>
      </c>
      <c r="B125" s="18" t="s">
        <v>336</v>
      </c>
      <c r="C125" s="19" t="n">
        <v>1</v>
      </c>
      <c r="D125" s="15" t="s">
        <v>337</v>
      </c>
      <c r="E125" s="15" t="s">
        <v>30</v>
      </c>
      <c r="F125" s="15" t="n">
        <v>0</v>
      </c>
      <c r="G125" s="15" t="s">
        <v>153</v>
      </c>
      <c r="H125" s="15" t="s">
        <v>12</v>
      </c>
      <c r="I125" s="14" t="s">
        <v>338</v>
      </c>
    </row>
    <row r="126" s="15" customFormat="true" ht="15" hidden="false" customHeight="false" outlineLevel="0" collapsed="false">
      <c r="A126" s="17" t="n">
        <f aca="false">HEX2DEC(B126)</f>
        <v>16553</v>
      </c>
      <c r="B126" s="18" t="s">
        <v>339</v>
      </c>
      <c r="C126" s="19" t="n">
        <v>1</v>
      </c>
      <c r="D126" s="15" t="s">
        <v>340</v>
      </c>
      <c r="E126" s="15" t="s">
        <v>30</v>
      </c>
      <c r="F126" s="15" t="n">
        <v>0</v>
      </c>
      <c r="G126" s="15" t="s">
        <v>102</v>
      </c>
      <c r="H126" s="15" t="s">
        <v>12</v>
      </c>
      <c r="I126" s="15" t="s">
        <v>341</v>
      </c>
    </row>
    <row r="127" s="15" customFormat="true" ht="25.6" hidden="false" customHeight="false" outlineLevel="0" collapsed="false">
      <c r="A127" s="17" t="n">
        <f aca="false">HEX2DEC(B127)</f>
        <v>16554</v>
      </c>
      <c r="B127" s="18" t="s">
        <v>342</v>
      </c>
      <c r="C127" s="19" t="n">
        <v>1</v>
      </c>
      <c r="D127" s="15" t="s">
        <v>343</v>
      </c>
      <c r="E127" s="15" t="s">
        <v>30</v>
      </c>
      <c r="F127" s="15" t="n">
        <v>0</v>
      </c>
      <c r="G127" s="15" t="s">
        <v>153</v>
      </c>
      <c r="H127" s="15" t="s">
        <v>12</v>
      </c>
      <c r="I127" s="14" t="s">
        <v>344</v>
      </c>
    </row>
    <row r="128" s="15" customFormat="true" ht="15" hidden="false" customHeight="false" outlineLevel="0" collapsed="false">
      <c r="A128" s="17" t="n">
        <f aca="false">HEX2DEC(B128)</f>
        <v>16555</v>
      </c>
      <c r="B128" s="18" t="s">
        <v>345</v>
      </c>
      <c r="C128" s="19" t="n">
        <v>1</v>
      </c>
      <c r="D128" s="15" t="s">
        <v>346</v>
      </c>
      <c r="E128" s="15" t="s">
        <v>11</v>
      </c>
      <c r="F128" s="15" t="n">
        <v>0</v>
      </c>
      <c r="G128" s="15" t="s">
        <v>102</v>
      </c>
      <c r="H128" s="15" t="s">
        <v>12</v>
      </c>
      <c r="I128" s="15" t="s">
        <v>347</v>
      </c>
    </row>
    <row r="129" s="15" customFormat="true" ht="15" hidden="false" customHeight="false" outlineLevel="0" collapsed="false">
      <c r="A129" s="17" t="n">
        <f aca="false">HEX2DEC(B129)</f>
        <v>16556</v>
      </c>
      <c r="B129" s="18" t="s">
        <v>348</v>
      </c>
      <c r="C129" s="19" t="n">
        <v>1</v>
      </c>
      <c r="D129" s="15" t="s">
        <v>349</v>
      </c>
      <c r="E129" s="15" t="s">
        <v>11</v>
      </c>
      <c r="F129" s="15" t="n">
        <v>0</v>
      </c>
      <c r="G129" s="15" t="s">
        <v>153</v>
      </c>
      <c r="H129" s="15" t="s">
        <v>12</v>
      </c>
      <c r="I129" s="15" t="s">
        <v>350</v>
      </c>
    </row>
    <row r="130" s="15" customFormat="true" ht="25.6" hidden="false" customHeight="false" outlineLevel="0" collapsed="false">
      <c r="A130" s="17" t="n">
        <f aca="false">HEX2DEC(B130)</f>
        <v>16557</v>
      </c>
      <c r="B130" s="18" t="s">
        <v>351</v>
      </c>
      <c r="C130" s="19" t="n">
        <v>1</v>
      </c>
      <c r="D130" s="38" t="s">
        <v>352</v>
      </c>
      <c r="E130" s="15" t="s">
        <v>30</v>
      </c>
      <c r="F130" s="15" t="n">
        <v>0</v>
      </c>
      <c r="G130" s="15" t="s">
        <v>102</v>
      </c>
      <c r="H130" s="15" t="s">
        <v>12</v>
      </c>
      <c r="I130" s="21" t="s">
        <v>353</v>
      </c>
    </row>
    <row r="131" s="43" customFormat="true" ht="15" hidden="false" customHeight="false" outlineLevel="0" collapsed="false">
      <c r="A131" s="40" t="n">
        <f aca="false">HEX2DEC(B131)</f>
        <v>16560</v>
      </c>
      <c r="B131" s="41" t="s">
        <v>354</v>
      </c>
      <c r="C131" s="42" t="n">
        <v>12</v>
      </c>
      <c r="D131" s="43" t="s">
        <v>23</v>
      </c>
      <c r="E131" s="43" t="s">
        <v>11</v>
      </c>
      <c r="F131" s="43" t="n">
        <v>0</v>
      </c>
      <c r="H131" s="43" t="s">
        <v>12</v>
      </c>
      <c r="I131" s="43" t="s">
        <v>355</v>
      </c>
    </row>
    <row r="132" s="25" customFormat="true" ht="22.7" hidden="false" customHeight="true" outlineLevel="0" collapsed="false">
      <c r="A132" s="22" t="n">
        <f aca="false">HEX2DEC(B132)</f>
        <v>16572</v>
      </c>
      <c r="B132" s="23" t="s">
        <v>356</v>
      </c>
      <c r="C132" s="24" t="n">
        <v>1</v>
      </c>
      <c r="D132" s="25" t="s">
        <v>357</v>
      </c>
      <c r="E132" s="25" t="s">
        <v>11</v>
      </c>
      <c r="F132" s="25" t="n">
        <v>-1</v>
      </c>
      <c r="G132" s="25" t="s">
        <v>358</v>
      </c>
      <c r="H132" s="25" t="s">
        <v>12</v>
      </c>
      <c r="I132" s="44" t="s">
        <v>359</v>
      </c>
    </row>
    <row r="133" s="25" customFormat="true" ht="22.7" hidden="false" customHeight="true" outlineLevel="0" collapsed="false">
      <c r="A133" s="22" t="n">
        <f aca="false">HEX2DEC(B133)</f>
        <v>16573</v>
      </c>
      <c r="B133" s="23" t="s">
        <v>360</v>
      </c>
      <c r="C133" s="24" t="n">
        <v>2</v>
      </c>
      <c r="D133" s="25" t="s">
        <v>361</v>
      </c>
      <c r="E133" s="25" t="s">
        <v>16</v>
      </c>
      <c r="F133" s="25" t="n">
        <v>-1</v>
      </c>
      <c r="G133" s="25" t="s">
        <v>358</v>
      </c>
      <c r="H133" s="25" t="s">
        <v>12</v>
      </c>
      <c r="I133" s="44" t="s">
        <v>362</v>
      </c>
    </row>
    <row r="134" s="25" customFormat="true" ht="22.7" hidden="false" customHeight="true" outlineLevel="0" collapsed="false">
      <c r="A134" s="22" t="n">
        <f aca="false">HEX2DEC(B134)</f>
        <v>16575</v>
      </c>
      <c r="B134" s="23" t="s">
        <v>363</v>
      </c>
      <c r="C134" s="24" t="n">
        <v>2</v>
      </c>
      <c r="D134" s="25" t="s">
        <v>364</v>
      </c>
      <c r="E134" s="25" t="s">
        <v>16</v>
      </c>
      <c r="F134" s="25" t="n">
        <v>-2</v>
      </c>
      <c r="G134" s="27" t="s">
        <v>365</v>
      </c>
      <c r="H134" s="25" t="s">
        <v>12</v>
      </c>
      <c r="I134" s="45" t="s">
        <v>366</v>
      </c>
      <c r="J134" s="34" t="s">
        <v>367</v>
      </c>
    </row>
    <row r="135" s="25" customFormat="true" ht="22.7" hidden="false" customHeight="true" outlineLevel="0" collapsed="false">
      <c r="A135" s="22" t="n">
        <f aca="false">HEX2DEC(B135)</f>
        <v>16577</v>
      </c>
      <c r="B135" s="23" t="s">
        <v>368</v>
      </c>
      <c r="C135" s="24" t="n">
        <v>2</v>
      </c>
      <c r="D135" s="25" t="s">
        <v>369</v>
      </c>
      <c r="E135" s="25" t="s">
        <v>16</v>
      </c>
      <c r="F135" s="25" t="n">
        <v>-2</v>
      </c>
      <c r="G135" s="27" t="s">
        <v>365</v>
      </c>
      <c r="H135" s="25" t="s">
        <v>12</v>
      </c>
      <c r="I135" s="45" t="s">
        <v>370</v>
      </c>
      <c r="J135" s="34"/>
    </row>
    <row r="136" s="25" customFormat="true" ht="22.7" hidden="false" customHeight="true" outlineLevel="0" collapsed="false">
      <c r="A136" s="22" t="n">
        <f aca="false">HEX2DEC(B136)</f>
        <v>16579</v>
      </c>
      <c r="B136" s="23" t="s">
        <v>371</v>
      </c>
      <c r="C136" s="24" t="n">
        <v>2</v>
      </c>
      <c r="D136" s="25" t="s">
        <v>372</v>
      </c>
      <c r="E136" s="25" t="s">
        <v>16</v>
      </c>
      <c r="F136" s="25" t="n">
        <v>-2</v>
      </c>
      <c r="G136" s="27" t="s">
        <v>365</v>
      </c>
      <c r="H136" s="25" t="s">
        <v>12</v>
      </c>
      <c r="I136" s="45" t="s">
        <v>373</v>
      </c>
      <c r="J136" s="34"/>
    </row>
    <row r="137" s="25" customFormat="true" ht="22.7" hidden="false" customHeight="true" outlineLevel="0" collapsed="false">
      <c r="A137" s="22" t="n">
        <f aca="false">HEX2DEC(B137)</f>
        <v>16581</v>
      </c>
      <c r="B137" s="23" t="s">
        <v>374</v>
      </c>
      <c r="C137" s="24" t="n">
        <v>2</v>
      </c>
      <c r="D137" s="25" t="s">
        <v>375</v>
      </c>
      <c r="E137" s="25" t="s">
        <v>16</v>
      </c>
      <c r="F137" s="25" t="n">
        <v>-2</v>
      </c>
      <c r="G137" s="27" t="s">
        <v>365</v>
      </c>
      <c r="H137" s="25" t="s">
        <v>12</v>
      </c>
      <c r="I137" s="45" t="s">
        <v>376</v>
      </c>
      <c r="J137" s="34"/>
    </row>
    <row r="138" s="15" customFormat="true" ht="22.7" hidden="false" customHeight="true" outlineLevel="0" collapsed="false">
      <c r="A138" s="17" t="n">
        <f aca="false">HEX2DEC(B138)</f>
        <v>16583</v>
      </c>
      <c r="B138" s="18" t="s">
        <v>377</v>
      </c>
      <c r="C138" s="19" t="n">
        <v>2</v>
      </c>
      <c r="D138" s="15" t="s">
        <v>378</v>
      </c>
      <c r="E138" s="15" t="s">
        <v>16</v>
      </c>
      <c r="F138" s="15" t="n">
        <v>-2</v>
      </c>
      <c r="G138" s="14" t="s">
        <v>365</v>
      </c>
      <c r="H138" s="15" t="s">
        <v>12</v>
      </c>
      <c r="I138" s="46" t="s">
        <v>379</v>
      </c>
      <c r="J138" s="13" t="s">
        <v>380</v>
      </c>
    </row>
    <row r="139" s="15" customFormat="true" ht="22.7" hidden="false" customHeight="true" outlineLevel="0" collapsed="false">
      <c r="A139" s="17" t="n">
        <f aca="false">HEX2DEC(B139)</f>
        <v>16585</v>
      </c>
      <c r="B139" s="18" t="s">
        <v>381</v>
      </c>
      <c r="C139" s="19" t="n">
        <v>2</v>
      </c>
      <c r="D139" s="15" t="s">
        <v>382</v>
      </c>
      <c r="E139" s="15" t="s">
        <v>16</v>
      </c>
      <c r="F139" s="15" t="n">
        <v>-2</v>
      </c>
      <c r="G139" s="15" t="s">
        <v>383</v>
      </c>
      <c r="H139" s="15" t="s">
        <v>12</v>
      </c>
      <c r="I139" s="13" t="s">
        <v>384</v>
      </c>
      <c r="J139" s="13"/>
    </row>
    <row r="140" s="15" customFormat="true" ht="22.7" hidden="false" customHeight="true" outlineLevel="0" collapsed="false">
      <c r="A140" s="17" t="n">
        <f aca="false">HEX2DEC(B140)</f>
        <v>16587</v>
      </c>
      <c r="B140" s="18" t="s">
        <v>385</v>
      </c>
      <c r="C140" s="19" t="n">
        <v>2</v>
      </c>
      <c r="D140" s="15" t="s">
        <v>386</v>
      </c>
      <c r="E140" s="15" t="s">
        <v>16</v>
      </c>
      <c r="F140" s="15" t="n">
        <v>-2</v>
      </c>
      <c r="G140" s="15" t="s">
        <v>383</v>
      </c>
      <c r="H140" s="15" t="s">
        <v>12</v>
      </c>
      <c r="I140" s="13" t="s">
        <v>387</v>
      </c>
      <c r="J140" s="13"/>
    </row>
    <row r="141" s="15" customFormat="true" ht="22.7" hidden="false" customHeight="true" outlineLevel="0" collapsed="false">
      <c r="A141" s="17" t="n">
        <f aca="false">HEX2DEC(B141)</f>
        <v>16589</v>
      </c>
      <c r="B141" s="18" t="s">
        <v>388</v>
      </c>
      <c r="C141" s="19" t="n">
        <v>2</v>
      </c>
      <c r="D141" s="15" t="s">
        <v>389</v>
      </c>
      <c r="E141" s="15" t="s">
        <v>16</v>
      </c>
      <c r="F141" s="15" t="n">
        <v>-2</v>
      </c>
      <c r="G141" s="15" t="s">
        <v>383</v>
      </c>
      <c r="H141" s="15" t="s">
        <v>12</v>
      </c>
      <c r="I141" s="13" t="s">
        <v>390</v>
      </c>
      <c r="J141" s="13"/>
    </row>
    <row r="142" s="25" customFormat="true" ht="22.7" hidden="false" customHeight="true" outlineLevel="0" collapsed="false">
      <c r="A142" s="22" t="n">
        <f aca="false">HEX2DEC(B142)</f>
        <v>16591</v>
      </c>
      <c r="B142" s="23" t="s">
        <v>391</v>
      </c>
      <c r="C142" s="24" t="n">
        <v>2</v>
      </c>
      <c r="D142" s="25" t="s">
        <v>392</v>
      </c>
      <c r="E142" s="25" t="s">
        <v>16</v>
      </c>
      <c r="F142" s="25" t="n">
        <v>-2</v>
      </c>
      <c r="G142" s="25" t="s">
        <v>383</v>
      </c>
      <c r="H142" s="25" t="s">
        <v>12</v>
      </c>
      <c r="I142" s="47" t="s">
        <v>393</v>
      </c>
      <c r="J142" s="34" t="s">
        <v>394</v>
      </c>
    </row>
    <row r="143" s="25" customFormat="true" ht="22.7" hidden="false" customHeight="true" outlineLevel="0" collapsed="false">
      <c r="A143" s="22" t="n">
        <f aca="false">HEX2DEC(B143)</f>
        <v>16593</v>
      </c>
      <c r="B143" s="23" t="s">
        <v>395</v>
      </c>
      <c r="C143" s="24" t="n">
        <v>2</v>
      </c>
      <c r="D143" s="25" t="s">
        <v>396</v>
      </c>
      <c r="E143" s="25" t="s">
        <v>16</v>
      </c>
      <c r="F143" s="25" t="n">
        <v>-2</v>
      </c>
      <c r="G143" s="25" t="s">
        <v>397</v>
      </c>
      <c r="H143" s="25" t="s">
        <v>12</v>
      </c>
      <c r="I143" s="47" t="s">
        <v>398</v>
      </c>
      <c r="J143" s="34"/>
    </row>
    <row r="144" s="25" customFormat="true" ht="22.7" hidden="false" customHeight="true" outlineLevel="0" collapsed="false">
      <c r="A144" s="22" t="n">
        <f aca="false">HEX2DEC(B144)</f>
        <v>16595</v>
      </c>
      <c r="B144" s="23" t="s">
        <v>399</v>
      </c>
      <c r="C144" s="24" t="n">
        <v>2</v>
      </c>
      <c r="D144" s="25" t="s">
        <v>400</v>
      </c>
      <c r="E144" s="25" t="s">
        <v>16</v>
      </c>
      <c r="F144" s="25" t="n">
        <v>-2</v>
      </c>
      <c r="G144" s="25" t="s">
        <v>383</v>
      </c>
      <c r="H144" s="25" t="s">
        <v>12</v>
      </c>
      <c r="I144" s="47" t="s">
        <v>401</v>
      </c>
      <c r="J144" s="34"/>
    </row>
    <row r="145" s="25" customFormat="true" ht="22.7" hidden="false" customHeight="true" outlineLevel="0" collapsed="false">
      <c r="A145" s="22" t="n">
        <f aca="false">HEX2DEC(B145)</f>
        <v>16597</v>
      </c>
      <c r="B145" s="23" t="s">
        <v>402</v>
      </c>
      <c r="C145" s="24" t="n">
        <v>2</v>
      </c>
      <c r="D145" s="25" t="s">
        <v>403</v>
      </c>
      <c r="E145" s="25" t="s">
        <v>16</v>
      </c>
      <c r="F145" s="25" t="n">
        <v>-2</v>
      </c>
      <c r="G145" s="25" t="s">
        <v>383</v>
      </c>
      <c r="H145" s="25" t="s">
        <v>12</v>
      </c>
      <c r="I145" s="34" t="s">
        <v>404</v>
      </c>
      <c r="J145" s="34"/>
    </row>
    <row r="146" s="15" customFormat="true" ht="22.7" hidden="false" customHeight="true" outlineLevel="0" collapsed="false">
      <c r="A146" s="17" t="n">
        <f aca="false">HEX2DEC(B146)</f>
        <v>16599</v>
      </c>
      <c r="B146" s="18" t="s">
        <v>405</v>
      </c>
      <c r="C146" s="19" t="n">
        <v>2</v>
      </c>
      <c r="D146" s="15" t="s">
        <v>406</v>
      </c>
      <c r="E146" s="15" t="s">
        <v>16</v>
      </c>
      <c r="F146" s="15" t="n">
        <v>-2</v>
      </c>
      <c r="G146" s="15" t="s">
        <v>383</v>
      </c>
      <c r="H146" s="15" t="s">
        <v>12</v>
      </c>
      <c r="I146" s="15" t="s">
        <v>407</v>
      </c>
      <c r="J146" s="13" t="s">
        <v>408</v>
      </c>
    </row>
    <row r="147" s="15" customFormat="true" ht="22.7" hidden="false" customHeight="true" outlineLevel="0" collapsed="false">
      <c r="A147" s="17" t="n">
        <f aca="false">HEX2DEC(B147)</f>
        <v>16601</v>
      </c>
      <c r="B147" s="18" t="s">
        <v>409</v>
      </c>
      <c r="C147" s="19" t="n">
        <v>2</v>
      </c>
      <c r="D147" s="15" t="s">
        <v>410</v>
      </c>
      <c r="E147" s="15" t="s">
        <v>16</v>
      </c>
      <c r="F147" s="15" t="n">
        <v>-2</v>
      </c>
      <c r="G147" s="15" t="s">
        <v>383</v>
      </c>
      <c r="H147" s="15" t="s">
        <v>12</v>
      </c>
      <c r="I147" s="15" t="s">
        <v>411</v>
      </c>
      <c r="J147" s="13"/>
    </row>
    <row r="148" s="15" customFormat="true" ht="22.7" hidden="false" customHeight="true" outlineLevel="0" collapsed="false">
      <c r="A148" s="17" t="n">
        <f aca="false">HEX2DEC(B148)</f>
        <v>16603</v>
      </c>
      <c r="B148" s="18" t="s">
        <v>412</v>
      </c>
      <c r="C148" s="19" t="n">
        <v>2</v>
      </c>
      <c r="D148" s="15" t="s">
        <v>413</v>
      </c>
      <c r="E148" s="15" t="s">
        <v>16</v>
      </c>
      <c r="F148" s="15" t="n">
        <v>-2</v>
      </c>
      <c r="G148" s="15" t="s">
        <v>397</v>
      </c>
      <c r="H148" s="15" t="s">
        <v>12</v>
      </c>
      <c r="I148" s="15" t="s">
        <v>414</v>
      </c>
      <c r="J148" s="13"/>
    </row>
    <row r="149" s="15" customFormat="true" ht="22.7" hidden="false" customHeight="true" outlineLevel="0" collapsed="false">
      <c r="A149" s="17" t="n">
        <f aca="false">HEX2DEC(B149)</f>
        <v>16605</v>
      </c>
      <c r="B149" s="18" t="s">
        <v>415</v>
      </c>
      <c r="C149" s="19" t="n">
        <v>2</v>
      </c>
      <c r="D149" s="15" t="s">
        <v>416</v>
      </c>
      <c r="E149" s="15" t="s">
        <v>16</v>
      </c>
      <c r="F149" s="15" t="n">
        <v>-2</v>
      </c>
      <c r="G149" s="15" t="s">
        <v>383</v>
      </c>
      <c r="H149" s="15" t="s">
        <v>12</v>
      </c>
      <c r="I149" s="15" t="s">
        <v>417</v>
      </c>
      <c r="J149" s="13"/>
    </row>
    <row r="150" s="25" customFormat="true" ht="22.7" hidden="false" customHeight="true" outlineLevel="0" collapsed="false">
      <c r="A150" s="22" t="n">
        <f aca="false">HEX2DEC(B150)</f>
        <v>16607</v>
      </c>
      <c r="B150" s="23" t="s">
        <v>418</v>
      </c>
      <c r="C150" s="24" t="n">
        <v>2</v>
      </c>
      <c r="D150" s="25" t="s">
        <v>419</v>
      </c>
      <c r="E150" s="25" t="s">
        <v>16</v>
      </c>
      <c r="F150" s="25" t="n">
        <v>-2</v>
      </c>
      <c r="G150" s="25" t="s">
        <v>383</v>
      </c>
      <c r="H150" s="25" t="s">
        <v>12</v>
      </c>
      <c r="I150" s="25" t="s">
        <v>420</v>
      </c>
      <c r="J150" s="34" t="s">
        <v>421</v>
      </c>
    </row>
    <row r="151" s="25" customFormat="true" ht="22.7" hidden="false" customHeight="true" outlineLevel="0" collapsed="false">
      <c r="A151" s="22" t="n">
        <f aca="false">HEX2DEC(B151)</f>
        <v>16609</v>
      </c>
      <c r="B151" s="23" t="s">
        <v>422</v>
      </c>
      <c r="C151" s="24" t="n">
        <v>2</v>
      </c>
      <c r="D151" s="25" t="s">
        <v>423</v>
      </c>
      <c r="E151" s="25" t="s">
        <v>16</v>
      </c>
      <c r="F151" s="25" t="n">
        <v>-2</v>
      </c>
      <c r="G151" s="25" t="s">
        <v>383</v>
      </c>
      <c r="H151" s="25" t="s">
        <v>12</v>
      </c>
      <c r="I151" s="27" t="s">
        <v>424</v>
      </c>
      <c r="J151" s="34"/>
      <c r="M151" s="48"/>
    </row>
    <row r="152" s="25" customFormat="true" ht="22.7" hidden="false" customHeight="true" outlineLevel="0" collapsed="false">
      <c r="A152" s="22" t="n">
        <f aca="false">HEX2DEC(B152)</f>
        <v>16611</v>
      </c>
      <c r="B152" s="23" t="s">
        <v>425</v>
      </c>
      <c r="C152" s="24" t="n">
        <v>2</v>
      </c>
      <c r="D152" s="25" t="s">
        <v>426</v>
      </c>
      <c r="E152" s="25" t="s">
        <v>16</v>
      </c>
      <c r="F152" s="25" t="n">
        <v>-2</v>
      </c>
      <c r="G152" s="25" t="s">
        <v>383</v>
      </c>
      <c r="H152" s="25" t="s">
        <v>12</v>
      </c>
      <c r="I152" s="25" t="s">
        <v>427</v>
      </c>
      <c r="J152" s="34"/>
    </row>
    <row r="153" s="25" customFormat="true" ht="22.7" hidden="false" customHeight="true" outlineLevel="0" collapsed="false">
      <c r="A153" s="22" t="n">
        <f aca="false">HEX2DEC(B153)</f>
        <v>16613</v>
      </c>
      <c r="B153" s="23" t="s">
        <v>428</v>
      </c>
      <c r="C153" s="24" t="n">
        <v>2</v>
      </c>
      <c r="D153" s="25" t="s">
        <v>429</v>
      </c>
      <c r="E153" s="25" t="s">
        <v>16</v>
      </c>
      <c r="F153" s="25" t="n">
        <v>-2</v>
      </c>
      <c r="G153" s="25" t="s">
        <v>383</v>
      </c>
      <c r="H153" s="25" t="s">
        <v>12</v>
      </c>
      <c r="I153" s="25" t="s">
        <v>430</v>
      </c>
      <c r="J153" s="34"/>
    </row>
    <row r="154" s="15" customFormat="true" ht="22.7" hidden="false" customHeight="true" outlineLevel="0" collapsed="false">
      <c r="A154" s="17" t="n">
        <f aca="false">HEX2DEC(B154)</f>
        <v>16615</v>
      </c>
      <c r="B154" s="18" t="s">
        <v>431</v>
      </c>
      <c r="C154" s="19" t="n">
        <v>2</v>
      </c>
      <c r="D154" s="15" t="s">
        <v>432</v>
      </c>
      <c r="E154" s="15" t="s">
        <v>16</v>
      </c>
      <c r="F154" s="15" t="n">
        <v>-2</v>
      </c>
      <c r="G154" s="15" t="s">
        <v>383</v>
      </c>
      <c r="H154" s="15" t="s">
        <v>12</v>
      </c>
      <c r="I154" s="15" t="s">
        <v>433</v>
      </c>
      <c r="J154" s="13" t="s">
        <v>434</v>
      </c>
    </row>
    <row r="155" s="15" customFormat="true" ht="22.7" hidden="false" customHeight="true" outlineLevel="0" collapsed="false">
      <c r="A155" s="17" t="n">
        <f aca="false">HEX2DEC(B155)</f>
        <v>16617</v>
      </c>
      <c r="B155" s="18" t="s">
        <v>435</v>
      </c>
      <c r="C155" s="19" t="n">
        <v>2</v>
      </c>
      <c r="D155" s="15" t="s">
        <v>436</v>
      </c>
      <c r="E155" s="15" t="s">
        <v>16</v>
      </c>
      <c r="F155" s="15" t="n">
        <v>-2</v>
      </c>
      <c r="G155" s="15" t="s">
        <v>383</v>
      </c>
      <c r="H155" s="15" t="s">
        <v>12</v>
      </c>
      <c r="I155" s="14" t="s">
        <v>437</v>
      </c>
      <c r="J155" s="13"/>
    </row>
    <row r="156" s="15" customFormat="true" ht="22.7" hidden="false" customHeight="true" outlineLevel="0" collapsed="false">
      <c r="A156" s="17" t="n">
        <f aca="false">HEX2DEC(B156)</f>
        <v>16619</v>
      </c>
      <c r="B156" s="18" t="s">
        <v>438</v>
      </c>
      <c r="C156" s="19" t="n">
        <v>2</v>
      </c>
      <c r="D156" s="15" t="s">
        <v>439</v>
      </c>
      <c r="E156" s="15" t="s">
        <v>16</v>
      </c>
      <c r="F156" s="15" t="n">
        <v>-2</v>
      </c>
      <c r="G156" s="15" t="s">
        <v>383</v>
      </c>
      <c r="H156" s="15" t="s">
        <v>12</v>
      </c>
      <c r="I156" s="14" t="s">
        <v>440</v>
      </c>
      <c r="J156" s="13"/>
    </row>
    <row r="157" s="15" customFormat="true" ht="22.7" hidden="false" customHeight="true" outlineLevel="0" collapsed="false">
      <c r="A157" s="17" t="n">
        <f aca="false">HEX2DEC(B157)</f>
        <v>16621</v>
      </c>
      <c r="B157" s="18" t="s">
        <v>441</v>
      </c>
      <c r="C157" s="19" t="n">
        <v>2</v>
      </c>
      <c r="D157" s="15" t="s">
        <v>442</v>
      </c>
      <c r="E157" s="15" t="s">
        <v>16</v>
      </c>
      <c r="F157" s="15" t="n">
        <v>-2</v>
      </c>
      <c r="G157" s="15" t="s">
        <v>383</v>
      </c>
      <c r="H157" s="15" t="s">
        <v>12</v>
      </c>
      <c r="I157" s="15" t="s">
        <v>443</v>
      </c>
      <c r="J157" s="13"/>
    </row>
    <row r="158" s="25" customFormat="true" ht="22.7" hidden="false" customHeight="true" outlineLevel="0" collapsed="false">
      <c r="A158" s="22" t="n">
        <f aca="false">HEX2DEC(B158)</f>
        <v>16623</v>
      </c>
      <c r="B158" s="23" t="s">
        <v>444</v>
      </c>
      <c r="C158" s="24" t="n">
        <v>2</v>
      </c>
      <c r="D158" s="25" t="s">
        <v>445</v>
      </c>
      <c r="E158" s="25" t="s">
        <v>16</v>
      </c>
      <c r="F158" s="25" t="n">
        <v>-2</v>
      </c>
      <c r="G158" s="27" t="s">
        <v>446</v>
      </c>
      <c r="H158" s="25" t="s">
        <v>12</v>
      </c>
      <c r="I158" s="27" t="s">
        <v>447</v>
      </c>
      <c r="J158" s="34" t="s">
        <v>448</v>
      </c>
    </row>
    <row r="159" s="25" customFormat="true" ht="22.7" hidden="false" customHeight="true" outlineLevel="0" collapsed="false">
      <c r="A159" s="22" t="n">
        <f aca="false">HEX2DEC(B159)</f>
        <v>16625</v>
      </c>
      <c r="B159" s="23" t="s">
        <v>449</v>
      </c>
      <c r="C159" s="24" t="n">
        <v>2</v>
      </c>
      <c r="D159" s="25" t="s">
        <v>450</v>
      </c>
      <c r="E159" s="25" t="s">
        <v>16</v>
      </c>
      <c r="F159" s="25" t="n">
        <v>-2</v>
      </c>
      <c r="G159" s="27" t="s">
        <v>365</v>
      </c>
      <c r="H159" s="25" t="s">
        <v>12</v>
      </c>
      <c r="I159" s="27" t="s">
        <v>451</v>
      </c>
      <c r="J159" s="34"/>
    </row>
    <row r="160" s="25" customFormat="true" ht="22.7" hidden="false" customHeight="true" outlineLevel="0" collapsed="false">
      <c r="A160" s="22" t="n">
        <f aca="false">HEX2DEC(B160)</f>
        <v>16627</v>
      </c>
      <c r="B160" s="23" t="s">
        <v>452</v>
      </c>
      <c r="C160" s="24" t="n">
        <v>2</v>
      </c>
      <c r="D160" s="25" t="s">
        <v>453</v>
      </c>
      <c r="E160" s="25" t="s">
        <v>16</v>
      </c>
      <c r="F160" s="25" t="n">
        <v>-2</v>
      </c>
      <c r="G160" s="27" t="s">
        <v>365</v>
      </c>
      <c r="H160" s="25" t="s">
        <v>12</v>
      </c>
      <c r="I160" s="27" t="s">
        <v>454</v>
      </c>
      <c r="J160" s="34"/>
    </row>
    <row r="161" s="25" customFormat="true" ht="22.7" hidden="false" customHeight="true" outlineLevel="0" collapsed="false">
      <c r="A161" s="22" t="n">
        <f aca="false">HEX2DEC(B161)</f>
        <v>16629</v>
      </c>
      <c r="B161" s="23" t="s">
        <v>455</v>
      </c>
      <c r="C161" s="24" t="n">
        <v>2</v>
      </c>
      <c r="D161" s="25" t="s">
        <v>456</v>
      </c>
      <c r="E161" s="25" t="s">
        <v>16</v>
      </c>
      <c r="F161" s="25" t="n">
        <v>-2</v>
      </c>
      <c r="G161" s="27" t="s">
        <v>365</v>
      </c>
      <c r="H161" s="25" t="s">
        <v>12</v>
      </c>
      <c r="I161" s="27" t="s">
        <v>457</v>
      </c>
      <c r="J161" s="34"/>
    </row>
    <row r="162" s="15" customFormat="true" ht="22.7" hidden="false" customHeight="true" outlineLevel="0" collapsed="false">
      <c r="A162" s="17" t="n">
        <f aca="false">HEX2DEC(B162)</f>
        <v>16631</v>
      </c>
      <c r="B162" s="18" t="s">
        <v>458</v>
      </c>
      <c r="C162" s="19" t="n">
        <v>2</v>
      </c>
      <c r="D162" s="15" t="s">
        <v>459</v>
      </c>
      <c r="E162" s="15" t="s">
        <v>16</v>
      </c>
      <c r="F162" s="15" t="n">
        <v>-2</v>
      </c>
      <c r="G162" s="15" t="s">
        <v>383</v>
      </c>
      <c r="H162" s="15" t="s">
        <v>12</v>
      </c>
      <c r="I162" s="15" t="s">
        <v>460</v>
      </c>
      <c r="J162" s="13" t="s">
        <v>461</v>
      </c>
    </row>
    <row r="163" s="15" customFormat="true" ht="22.7" hidden="false" customHeight="true" outlineLevel="0" collapsed="false">
      <c r="A163" s="17" t="n">
        <f aca="false">HEX2DEC(B163)</f>
        <v>16633</v>
      </c>
      <c r="B163" s="18" t="s">
        <v>462</v>
      </c>
      <c r="C163" s="19" t="n">
        <v>2</v>
      </c>
      <c r="D163" s="15" t="s">
        <v>463</v>
      </c>
      <c r="E163" s="15" t="s">
        <v>16</v>
      </c>
      <c r="F163" s="15" t="n">
        <v>-2</v>
      </c>
      <c r="G163" s="15" t="s">
        <v>383</v>
      </c>
      <c r="H163" s="15" t="s">
        <v>12</v>
      </c>
      <c r="I163" s="15" t="s">
        <v>464</v>
      </c>
      <c r="J163" s="13"/>
    </row>
    <row r="164" s="15" customFormat="true" ht="22.7" hidden="false" customHeight="true" outlineLevel="0" collapsed="false">
      <c r="A164" s="17" t="n">
        <f aca="false">HEX2DEC(B164)</f>
        <v>16635</v>
      </c>
      <c r="B164" s="18" t="s">
        <v>465</v>
      </c>
      <c r="C164" s="19" t="n">
        <v>2</v>
      </c>
      <c r="D164" s="15" t="s">
        <v>466</v>
      </c>
      <c r="E164" s="15" t="s">
        <v>16</v>
      </c>
      <c r="F164" s="15" t="n">
        <v>-2</v>
      </c>
      <c r="G164" s="15" t="s">
        <v>383</v>
      </c>
      <c r="H164" s="15" t="s">
        <v>12</v>
      </c>
      <c r="I164" s="15" t="s">
        <v>467</v>
      </c>
      <c r="J164" s="13"/>
    </row>
    <row r="165" s="15" customFormat="true" ht="22.7" hidden="false" customHeight="true" outlineLevel="0" collapsed="false">
      <c r="A165" s="17" t="n">
        <f aca="false">HEX2DEC(B165)</f>
        <v>16637</v>
      </c>
      <c r="B165" s="18" t="s">
        <v>468</v>
      </c>
      <c r="C165" s="19" t="n">
        <v>2</v>
      </c>
      <c r="D165" s="15" t="s">
        <v>469</v>
      </c>
      <c r="E165" s="15" t="s">
        <v>16</v>
      </c>
      <c r="F165" s="15" t="n">
        <v>-2</v>
      </c>
      <c r="G165" s="15" t="s">
        <v>383</v>
      </c>
      <c r="H165" s="15" t="s">
        <v>12</v>
      </c>
      <c r="I165" s="15" t="s">
        <v>470</v>
      </c>
      <c r="J165" s="13"/>
    </row>
    <row r="166" s="25" customFormat="true" ht="22.7" hidden="false" customHeight="true" outlineLevel="0" collapsed="false">
      <c r="A166" s="22" t="n">
        <f aca="false">HEX2DEC(B166)</f>
        <v>16695</v>
      </c>
      <c r="B166" s="23" t="s">
        <v>471</v>
      </c>
      <c r="C166" s="24" t="n">
        <v>2</v>
      </c>
      <c r="D166" s="25" t="s">
        <v>472</v>
      </c>
      <c r="E166" s="25" t="s">
        <v>16</v>
      </c>
      <c r="F166" s="25" t="n">
        <v>-2</v>
      </c>
      <c r="G166" s="27" t="s">
        <v>365</v>
      </c>
      <c r="H166" s="25" t="s">
        <v>12</v>
      </c>
      <c r="I166" s="27" t="s">
        <v>473</v>
      </c>
      <c r="J166" s="34" t="s">
        <v>474</v>
      </c>
    </row>
    <row r="167" s="25" customFormat="true" ht="22.7" hidden="false" customHeight="true" outlineLevel="0" collapsed="false">
      <c r="A167" s="22" t="n">
        <f aca="false">HEX2DEC(B167)</f>
        <v>16697</v>
      </c>
      <c r="B167" s="23" t="s">
        <v>475</v>
      </c>
      <c r="C167" s="24" t="n">
        <v>2</v>
      </c>
      <c r="D167" s="25" t="s">
        <v>476</v>
      </c>
      <c r="E167" s="25" t="s">
        <v>16</v>
      </c>
      <c r="F167" s="25" t="n">
        <v>-2</v>
      </c>
      <c r="G167" s="27" t="s">
        <v>365</v>
      </c>
      <c r="H167" s="25" t="s">
        <v>12</v>
      </c>
      <c r="I167" s="47" t="s">
        <v>477</v>
      </c>
      <c r="J167" s="34"/>
    </row>
    <row r="168" s="25" customFormat="true" ht="22.7" hidden="false" customHeight="true" outlineLevel="0" collapsed="false">
      <c r="A168" s="22" t="n">
        <f aca="false">HEX2DEC(B168)</f>
        <v>16699</v>
      </c>
      <c r="B168" s="23" t="s">
        <v>478</v>
      </c>
      <c r="C168" s="24" t="n">
        <v>2</v>
      </c>
      <c r="D168" s="25" t="s">
        <v>479</v>
      </c>
      <c r="E168" s="25" t="s">
        <v>16</v>
      </c>
      <c r="F168" s="25" t="n">
        <v>-2</v>
      </c>
      <c r="G168" s="27" t="s">
        <v>365</v>
      </c>
      <c r="H168" s="25" t="s">
        <v>12</v>
      </c>
      <c r="I168" s="47" t="s">
        <v>480</v>
      </c>
      <c r="J168" s="34"/>
    </row>
    <row r="169" s="25" customFormat="true" ht="22.7" hidden="false" customHeight="true" outlineLevel="0" collapsed="false">
      <c r="A169" s="22" t="n">
        <f aca="false">HEX2DEC(B169)</f>
        <v>16701</v>
      </c>
      <c r="B169" s="23" t="s">
        <v>481</v>
      </c>
      <c r="C169" s="24" t="n">
        <v>2</v>
      </c>
      <c r="D169" s="25" t="s">
        <v>482</v>
      </c>
      <c r="E169" s="25" t="s">
        <v>16</v>
      </c>
      <c r="F169" s="25" t="n">
        <v>-2</v>
      </c>
      <c r="G169" s="27" t="s">
        <v>365</v>
      </c>
      <c r="H169" s="25" t="s">
        <v>12</v>
      </c>
      <c r="I169" s="47" t="s">
        <v>483</v>
      </c>
      <c r="J169" s="34"/>
    </row>
    <row r="170" s="15" customFormat="true" ht="22.7" hidden="false" customHeight="true" outlineLevel="0" collapsed="false">
      <c r="A170" s="17" t="n">
        <f aca="false">HEX2DEC(B170)</f>
        <v>16703</v>
      </c>
      <c r="B170" s="18" t="s">
        <v>484</v>
      </c>
      <c r="C170" s="19" t="n">
        <v>2</v>
      </c>
      <c r="D170" s="15" t="s">
        <v>485</v>
      </c>
      <c r="E170" s="15" t="s">
        <v>16</v>
      </c>
      <c r="F170" s="15" t="n">
        <v>-2</v>
      </c>
      <c r="G170" s="14" t="s">
        <v>365</v>
      </c>
      <c r="H170" s="15" t="s">
        <v>12</v>
      </c>
      <c r="I170" s="46" t="s">
        <v>486</v>
      </c>
      <c r="J170" s="13" t="s">
        <v>487</v>
      </c>
    </row>
    <row r="171" s="15" customFormat="true" ht="22.7" hidden="false" customHeight="true" outlineLevel="0" collapsed="false">
      <c r="A171" s="17" t="n">
        <f aca="false">HEX2DEC(B171)</f>
        <v>16705</v>
      </c>
      <c r="B171" s="18" t="s">
        <v>488</v>
      </c>
      <c r="C171" s="19" t="n">
        <v>2</v>
      </c>
      <c r="D171" s="15" t="s">
        <v>489</v>
      </c>
      <c r="E171" s="15" t="s">
        <v>16</v>
      </c>
      <c r="F171" s="15" t="n">
        <v>-2</v>
      </c>
      <c r="G171" s="14" t="s">
        <v>365</v>
      </c>
      <c r="H171" s="15" t="s">
        <v>12</v>
      </c>
      <c r="I171" s="46" t="s">
        <v>490</v>
      </c>
      <c r="J171" s="13"/>
    </row>
    <row r="172" s="15" customFormat="true" ht="22.7" hidden="false" customHeight="true" outlineLevel="0" collapsed="false">
      <c r="A172" s="17" t="n">
        <f aca="false">HEX2DEC(B172)</f>
        <v>16707</v>
      </c>
      <c r="B172" s="18" t="s">
        <v>491</v>
      </c>
      <c r="C172" s="19" t="n">
        <v>2</v>
      </c>
      <c r="D172" s="15" t="s">
        <v>492</v>
      </c>
      <c r="E172" s="15" t="s">
        <v>16</v>
      </c>
      <c r="F172" s="15" t="n">
        <v>-2</v>
      </c>
      <c r="G172" s="14" t="s">
        <v>365</v>
      </c>
      <c r="H172" s="15" t="s">
        <v>12</v>
      </c>
      <c r="I172" s="46" t="s">
        <v>493</v>
      </c>
      <c r="J172" s="13"/>
    </row>
    <row r="173" s="15" customFormat="true" ht="22.7" hidden="false" customHeight="true" outlineLevel="0" collapsed="false">
      <c r="A173" s="17" t="n">
        <f aca="false">HEX2DEC(B173)</f>
        <v>16709</v>
      </c>
      <c r="B173" s="18" t="s">
        <v>494</v>
      </c>
      <c r="C173" s="19" t="n">
        <v>2</v>
      </c>
      <c r="D173" s="15" t="s">
        <v>495</v>
      </c>
      <c r="E173" s="15" t="s">
        <v>16</v>
      </c>
      <c r="F173" s="15" t="n">
        <v>-2</v>
      </c>
      <c r="G173" s="14" t="s">
        <v>365</v>
      </c>
      <c r="H173" s="15" t="s">
        <v>12</v>
      </c>
      <c r="I173" s="46" t="s">
        <v>496</v>
      </c>
    </row>
    <row r="174" s="25" customFormat="true" ht="22.7" hidden="false" customHeight="true" outlineLevel="0" collapsed="false">
      <c r="A174" s="22" t="n">
        <f aca="false">HEX2DEC(B174)</f>
        <v>16711</v>
      </c>
      <c r="B174" s="23" t="s">
        <v>497</v>
      </c>
      <c r="C174" s="24" t="n">
        <v>2</v>
      </c>
      <c r="D174" s="25" t="s">
        <v>498</v>
      </c>
      <c r="E174" s="25" t="s">
        <v>16</v>
      </c>
      <c r="F174" s="25" t="n">
        <v>-2</v>
      </c>
      <c r="G174" s="25" t="s">
        <v>397</v>
      </c>
      <c r="H174" s="25" t="s">
        <v>12</v>
      </c>
      <c r="I174" s="44" t="s">
        <v>499</v>
      </c>
      <c r="J174" s="34" t="s">
        <v>500</v>
      </c>
    </row>
    <row r="175" s="25" customFormat="true" ht="22.7" hidden="false" customHeight="true" outlineLevel="0" collapsed="false">
      <c r="A175" s="22" t="n">
        <f aca="false">HEX2DEC(B175)</f>
        <v>16713</v>
      </c>
      <c r="B175" s="23" t="s">
        <v>501</v>
      </c>
      <c r="C175" s="24" t="n">
        <v>2</v>
      </c>
      <c r="D175" s="25" t="s">
        <v>502</v>
      </c>
      <c r="E175" s="25" t="s">
        <v>16</v>
      </c>
      <c r="F175" s="25" t="n">
        <v>-2</v>
      </c>
      <c r="G175" s="25" t="s">
        <v>383</v>
      </c>
      <c r="H175" s="25" t="s">
        <v>12</v>
      </c>
      <c r="I175" s="44" t="s">
        <v>503</v>
      </c>
      <c r="J175" s="34"/>
    </row>
    <row r="176" s="25" customFormat="true" ht="22.7" hidden="false" customHeight="true" outlineLevel="0" collapsed="false">
      <c r="A176" s="22" t="n">
        <f aca="false">HEX2DEC(B176)</f>
        <v>16715</v>
      </c>
      <c r="B176" s="23" t="s">
        <v>504</v>
      </c>
      <c r="C176" s="24" t="n">
        <v>2</v>
      </c>
      <c r="D176" s="25" t="s">
        <v>505</v>
      </c>
      <c r="E176" s="25" t="s">
        <v>16</v>
      </c>
      <c r="F176" s="25" t="n">
        <v>-2</v>
      </c>
      <c r="G176" s="25" t="s">
        <v>383</v>
      </c>
      <c r="H176" s="25" t="s">
        <v>12</v>
      </c>
      <c r="I176" s="44" t="s">
        <v>506</v>
      </c>
      <c r="J176" s="34"/>
    </row>
    <row r="177" s="25" customFormat="true" ht="22.7" hidden="false" customHeight="true" outlineLevel="0" collapsed="false">
      <c r="A177" s="22" t="n">
        <f aca="false">HEX2DEC(B177)</f>
        <v>16717</v>
      </c>
      <c r="B177" s="23" t="s">
        <v>507</v>
      </c>
      <c r="C177" s="24" t="n">
        <v>2</v>
      </c>
      <c r="D177" s="25" t="s">
        <v>508</v>
      </c>
      <c r="E177" s="25" t="s">
        <v>16</v>
      </c>
      <c r="F177" s="25" t="n">
        <v>-2</v>
      </c>
      <c r="G177" s="25" t="s">
        <v>383</v>
      </c>
      <c r="H177" s="25" t="s">
        <v>12</v>
      </c>
      <c r="I177" s="44" t="s">
        <v>509</v>
      </c>
      <c r="J177" s="34"/>
    </row>
    <row r="178" s="15" customFormat="true" ht="22.7" hidden="false" customHeight="true" outlineLevel="0" collapsed="false">
      <c r="A178" s="17" t="n">
        <f aca="false">HEX2DEC(B178)</f>
        <v>16719</v>
      </c>
      <c r="B178" s="18" t="s">
        <v>510</v>
      </c>
      <c r="C178" s="19" t="n">
        <v>2</v>
      </c>
      <c r="D178" s="15" t="s">
        <v>511</v>
      </c>
      <c r="E178" s="15" t="s">
        <v>16</v>
      </c>
      <c r="F178" s="15" t="n">
        <v>-2</v>
      </c>
      <c r="G178" s="15" t="s">
        <v>397</v>
      </c>
      <c r="H178" s="15" t="s">
        <v>12</v>
      </c>
      <c r="I178" s="46" t="s">
        <v>512</v>
      </c>
      <c r="J178" s="13" t="s">
        <v>513</v>
      </c>
    </row>
    <row r="179" s="15" customFormat="true" ht="22.7" hidden="false" customHeight="true" outlineLevel="0" collapsed="false">
      <c r="A179" s="17" t="n">
        <f aca="false">HEX2DEC(B179)</f>
        <v>16721</v>
      </c>
      <c r="B179" s="18" t="s">
        <v>514</v>
      </c>
      <c r="C179" s="19" t="n">
        <v>2</v>
      </c>
      <c r="D179" s="15" t="s">
        <v>515</v>
      </c>
      <c r="E179" s="15" t="s">
        <v>16</v>
      </c>
      <c r="F179" s="15" t="n">
        <v>-2</v>
      </c>
      <c r="G179" s="15" t="s">
        <v>383</v>
      </c>
      <c r="H179" s="15" t="s">
        <v>12</v>
      </c>
      <c r="I179" s="46" t="s">
        <v>516</v>
      </c>
      <c r="J179" s="13"/>
    </row>
    <row r="180" s="15" customFormat="true" ht="22.7" hidden="false" customHeight="true" outlineLevel="0" collapsed="false">
      <c r="A180" s="17" t="n">
        <f aca="false">HEX2DEC(B180)</f>
        <v>16723</v>
      </c>
      <c r="B180" s="18" t="s">
        <v>517</v>
      </c>
      <c r="C180" s="19" t="n">
        <v>2</v>
      </c>
      <c r="D180" s="15" t="s">
        <v>518</v>
      </c>
      <c r="E180" s="15" t="s">
        <v>16</v>
      </c>
      <c r="F180" s="15" t="n">
        <v>-2</v>
      </c>
      <c r="G180" s="15" t="s">
        <v>383</v>
      </c>
      <c r="H180" s="15" t="s">
        <v>12</v>
      </c>
      <c r="I180" s="46" t="s">
        <v>519</v>
      </c>
      <c r="J180" s="13"/>
    </row>
    <row r="181" s="15" customFormat="true" ht="22.7" hidden="false" customHeight="true" outlineLevel="0" collapsed="false">
      <c r="A181" s="17" t="n">
        <f aca="false">HEX2DEC(B181)</f>
        <v>16725</v>
      </c>
      <c r="B181" s="18" t="s">
        <v>520</v>
      </c>
      <c r="C181" s="19" t="n">
        <v>2</v>
      </c>
      <c r="D181" s="15" t="s">
        <v>521</v>
      </c>
      <c r="E181" s="15" t="s">
        <v>16</v>
      </c>
      <c r="F181" s="15" t="n">
        <v>-2</v>
      </c>
      <c r="G181" s="15" t="s">
        <v>383</v>
      </c>
      <c r="H181" s="15" t="s">
        <v>12</v>
      </c>
      <c r="I181" s="46" t="s">
        <v>522</v>
      </c>
      <c r="J181" s="13"/>
    </row>
    <row r="182" s="25" customFormat="true" ht="22.7" hidden="false" customHeight="true" outlineLevel="0" collapsed="false">
      <c r="A182" s="22" t="n">
        <f aca="false">HEX2DEC(B182)</f>
        <v>16727</v>
      </c>
      <c r="B182" s="23" t="s">
        <v>523</v>
      </c>
      <c r="C182" s="24" t="n">
        <v>2</v>
      </c>
      <c r="D182" s="25" t="s">
        <v>524</v>
      </c>
      <c r="E182" s="25" t="s">
        <v>16</v>
      </c>
      <c r="F182" s="25" t="n">
        <v>-2</v>
      </c>
      <c r="G182" s="25" t="s">
        <v>383</v>
      </c>
      <c r="H182" s="25" t="s">
        <v>12</v>
      </c>
      <c r="I182" s="47" t="s">
        <v>525</v>
      </c>
      <c r="J182" s="34" t="s">
        <v>526</v>
      </c>
    </row>
    <row r="183" s="25" customFormat="true" ht="22.7" hidden="false" customHeight="true" outlineLevel="0" collapsed="false">
      <c r="A183" s="22" t="n">
        <f aca="false">HEX2DEC(B183)</f>
        <v>16729</v>
      </c>
      <c r="B183" s="23" t="s">
        <v>527</v>
      </c>
      <c r="C183" s="24" t="n">
        <v>2</v>
      </c>
      <c r="D183" s="25" t="s">
        <v>528</v>
      </c>
      <c r="E183" s="25" t="s">
        <v>16</v>
      </c>
      <c r="F183" s="25" t="n">
        <v>-2</v>
      </c>
      <c r="G183" s="25" t="s">
        <v>383</v>
      </c>
      <c r="H183" s="25" t="s">
        <v>12</v>
      </c>
      <c r="I183" s="47" t="s">
        <v>529</v>
      </c>
      <c r="J183" s="34"/>
    </row>
    <row r="184" s="25" customFormat="true" ht="22.7" hidden="false" customHeight="true" outlineLevel="0" collapsed="false">
      <c r="A184" s="22" t="n">
        <f aca="false">HEX2DEC(B184)</f>
        <v>16731</v>
      </c>
      <c r="B184" s="23" t="s">
        <v>530</v>
      </c>
      <c r="C184" s="24" t="n">
        <v>2</v>
      </c>
      <c r="D184" s="25" t="s">
        <v>531</v>
      </c>
      <c r="E184" s="25" t="s">
        <v>16</v>
      </c>
      <c r="F184" s="25" t="n">
        <v>-2</v>
      </c>
      <c r="G184" s="25" t="s">
        <v>383</v>
      </c>
      <c r="H184" s="25" t="s">
        <v>12</v>
      </c>
      <c r="I184" s="47" t="s">
        <v>532</v>
      </c>
      <c r="J184" s="34"/>
    </row>
    <row r="185" s="25" customFormat="true" ht="22.7" hidden="false" customHeight="true" outlineLevel="0" collapsed="false">
      <c r="A185" s="22" t="n">
        <f aca="false">HEX2DEC(B185)</f>
        <v>16733</v>
      </c>
      <c r="B185" s="23" t="s">
        <v>533</v>
      </c>
      <c r="C185" s="24" t="n">
        <v>2</v>
      </c>
      <c r="D185" s="25" t="s">
        <v>534</v>
      </c>
      <c r="E185" s="25" t="s">
        <v>16</v>
      </c>
      <c r="F185" s="25" t="n">
        <v>-2</v>
      </c>
      <c r="G185" s="25" t="s">
        <v>383</v>
      </c>
      <c r="H185" s="25" t="s">
        <v>12</v>
      </c>
      <c r="I185" s="47" t="s">
        <v>535</v>
      </c>
      <c r="J185" s="34"/>
    </row>
    <row r="186" s="15" customFormat="true" ht="22.7" hidden="false" customHeight="true" outlineLevel="0" collapsed="false">
      <c r="A186" s="17" t="n">
        <f aca="false">HEX2DEC(B186)</f>
        <v>16735</v>
      </c>
      <c r="B186" s="18" t="s">
        <v>536</v>
      </c>
      <c r="C186" s="19" t="n">
        <v>2</v>
      </c>
      <c r="D186" s="15" t="s">
        <v>537</v>
      </c>
      <c r="E186" s="15" t="s">
        <v>16</v>
      </c>
      <c r="F186" s="15" t="n">
        <v>-2</v>
      </c>
      <c r="G186" s="15" t="s">
        <v>383</v>
      </c>
      <c r="H186" s="15" t="s">
        <v>12</v>
      </c>
      <c r="I186" s="46" t="s">
        <v>538</v>
      </c>
      <c r="J186" s="13" t="s">
        <v>539</v>
      </c>
    </row>
    <row r="187" s="15" customFormat="true" ht="22.7" hidden="false" customHeight="true" outlineLevel="0" collapsed="false">
      <c r="A187" s="17" t="n">
        <f aca="false">HEX2DEC(B187)</f>
        <v>16737</v>
      </c>
      <c r="B187" s="18" t="s">
        <v>540</v>
      </c>
      <c r="C187" s="19" t="n">
        <v>2</v>
      </c>
      <c r="D187" s="15" t="s">
        <v>541</v>
      </c>
      <c r="E187" s="15" t="s">
        <v>16</v>
      </c>
      <c r="F187" s="15" t="n">
        <v>-2</v>
      </c>
      <c r="G187" s="15" t="s">
        <v>383</v>
      </c>
      <c r="H187" s="15" t="s">
        <v>12</v>
      </c>
      <c r="I187" s="46" t="s">
        <v>542</v>
      </c>
      <c r="J187" s="13"/>
    </row>
    <row r="188" s="15" customFormat="true" ht="22.7" hidden="false" customHeight="true" outlineLevel="0" collapsed="false">
      <c r="A188" s="17" t="n">
        <f aca="false">HEX2DEC(B188)</f>
        <v>16739</v>
      </c>
      <c r="B188" s="18" t="s">
        <v>543</v>
      </c>
      <c r="C188" s="19" t="n">
        <v>2</v>
      </c>
      <c r="D188" s="15" t="s">
        <v>544</v>
      </c>
      <c r="E188" s="15" t="s">
        <v>16</v>
      </c>
      <c r="F188" s="15" t="n">
        <v>-2</v>
      </c>
      <c r="G188" s="15" t="s">
        <v>383</v>
      </c>
      <c r="H188" s="15" t="s">
        <v>12</v>
      </c>
      <c r="I188" s="46" t="s">
        <v>545</v>
      </c>
      <c r="J188" s="13"/>
    </row>
    <row r="189" s="15" customFormat="true" ht="22.7" hidden="false" customHeight="true" outlineLevel="0" collapsed="false">
      <c r="A189" s="19" t="n">
        <v>16741</v>
      </c>
      <c r="B189" s="18" t="s">
        <v>546</v>
      </c>
      <c r="C189" s="19" t="n">
        <v>2</v>
      </c>
      <c r="D189" s="15" t="s">
        <v>547</v>
      </c>
      <c r="E189" s="15" t="s">
        <v>16</v>
      </c>
      <c r="F189" s="15" t="n">
        <v>-2</v>
      </c>
      <c r="G189" s="15" t="s">
        <v>383</v>
      </c>
      <c r="H189" s="15" t="s">
        <v>12</v>
      </c>
      <c r="I189" s="46" t="s">
        <v>548</v>
      </c>
      <c r="J189" s="13"/>
    </row>
    <row r="190" s="25" customFormat="true" ht="22.7" hidden="false" customHeight="true" outlineLevel="0" collapsed="false">
      <c r="A190" s="24" t="n">
        <f aca="false">=HEX2DEC(B190)</f>
        <v>16743</v>
      </c>
      <c r="B190" s="24" t="n">
        <v>4167</v>
      </c>
      <c r="C190" s="24" t="n">
        <v>2</v>
      </c>
      <c r="D190" s="25" t="s">
        <v>549</v>
      </c>
      <c r="E190" s="25" t="s">
        <v>16</v>
      </c>
      <c r="F190" s="25" t="n">
        <v>-2</v>
      </c>
      <c r="G190" s="25" t="s">
        <v>383</v>
      </c>
      <c r="H190" s="25" t="s">
        <v>12</v>
      </c>
      <c r="I190" s="49" t="s">
        <v>550</v>
      </c>
    </row>
    <row r="191" s="25" customFormat="true" ht="22.7" hidden="false" customHeight="true" outlineLevel="0" collapsed="false">
      <c r="A191" s="24" t="n">
        <f aca="false">=HEX2DEC(B191)</f>
        <v>16745</v>
      </c>
      <c r="B191" s="24" t="n">
        <v>4169</v>
      </c>
      <c r="C191" s="24" t="n">
        <v>2</v>
      </c>
      <c r="D191" s="25" t="s">
        <v>551</v>
      </c>
      <c r="E191" s="25" t="s">
        <v>16</v>
      </c>
      <c r="F191" s="25" t="n">
        <v>-2</v>
      </c>
      <c r="G191" s="25" t="s">
        <v>383</v>
      </c>
      <c r="H191" s="25" t="s">
        <v>12</v>
      </c>
      <c r="I191" s="49"/>
    </row>
    <row r="192" s="25" customFormat="true" ht="22.7" hidden="false" customHeight="true" outlineLevel="0" collapsed="false">
      <c r="A192" s="24" t="n">
        <f aca="false">=HEX2DEC(B192)</f>
        <v>16747</v>
      </c>
      <c r="B192" s="24" t="s">
        <v>552</v>
      </c>
      <c r="C192" s="24" t="n">
        <v>2</v>
      </c>
      <c r="D192" s="25" t="s">
        <v>553</v>
      </c>
      <c r="E192" s="25" t="s">
        <v>16</v>
      </c>
      <c r="F192" s="25" t="n">
        <v>-2</v>
      </c>
      <c r="G192" s="25" t="s">
        <v>383</v>
      </c>
      <c r="H192" s="25" t="s">
        <v>12</v>
      </c>
      <c r="I192" s="49"/>
    </row>
    <row r="193" s="25" customFormat="true" ht="22.7" hidden="false" customHeight="true" outlineLevel="0" collapsed="false">
      <c r="A193" s="24" t="n">
        <f aca="false">=HEX2DEC(B193)</f>
        <v>16749</v>
      </c>
      <c r="B193" s="24" t="s">
        <v>554</v>
      </c>
      <c r="C193" s="24" t="n">
        <v>2</v>
      </c>
      <c r="D193" s="25" t="s">
        <v>555</v>
      </c>
      <c r="E193" s="25" t="s">
        <v>16</v>
      </c>
      <c r="F193" s="25" t="n">
        <v>-2</v>
      </c>
      <c r="G193" s="25" t="s">
        <v>383</v>
      </c>
      <c r="H193" s="25" t="s">
        <v>12</v>
      </c>
      <c r="I193" s="49"/>
    </row>
    <row r="194" s="25" customFormat="true" ht="22.7" hidden="false" customHeight="true" outlineLevel="0" collapsed="false">
      <c r="A194" s="24" t="n">
        <f aca="false">=HEX2DEC(B194)</f>
        <v>16751</v>
      </c>
      <c r="B194" s="24" t="s">
        <v>556</v>
      </c>
      <c r="C194" s="24" t="n">
        <v>2</v>
      </c>
      <c r="D194" s="25" t="s">
        <v>557</v>
      </c>
      <c r="E194" s="25" t="s">
        <v>16</v>
      </c>
      <c r="F194" s="25" t="n">
        <v>-2</v>
      </c>
      <c r="G194" s="25" t="s">
        <v>383</v>
      </c>
      <c r="H194" s="25" t="s">
        <v>12</v>
      </c>
      <c r="I194" s="49"/>
    </row>
    <row r="195" s="25" customFormat="true" ht="22.7" hidden="false" customHeight="true" outlineLevel="0" collapsed="false">
      <c r="A195" s="24" t="n">
        <f aca="false">=HEX2DEC(B195)</f>
        <v>16753</v>
      </c>
      <c r="B195" s="24" t="n">
        <v>4171</v>
      </c>
      <c r="C195" s="24" t="n">
        <v>2</v>
      </c>
      <c r="D195" s="25" t="s">
        <v>558</v>
      </c>
      <c r="E195" s="25" t="s">
        <v>16</v>
      </c>
      <c r="F195" s="25" t="n">
        <v>-2</v>
      </c>
      <c r="G195" s="25" t="s">
        <v>383</v>
      </c>
      <c r="H195" s="25" t="s">
        <v>12</v>
      </c>
      <c r="I195" s="49"/>
    </row>
    <row r="196" s="25" customFormat="true" ht="22.7" hidden="false" customHeight="true" outlineLevel="0" collapsed="false">
      <c r="A196" s="24" t="n">
        <f aca="false">=HEX2DEC(B196)</f>
        <v>16755</v>
      </c>
      <c r="B196" s="24" t="n">
        <v>4173</v>
      </c>
      <c r="C196" s="24" t="n">
        <v>2</v>
      </c>
      <c r="D196" s="25" t="s">
        <v>559</v>
      </c>
      <c r="E196" s="25" t="s">
        <v>16</v>
      </c>
      <c r="F196" s="25" t="n">
        <v>-2</v>
      </c>
      <c r="G196" s="25" t="s">
        <v>383</v>
      </c>
      <c r="H196" s="25" t="s">
        <v>12</v>
      </c>
      <c r="I196" s="49"/>
    </row>
    <row r="197" s="25" customFormat="true" ht="22.7" hidden="false" customHeight="true" outlineLevel="0" collapsed="false">
      <c r="A197" s="24" t="n">
        <f aca="false">=HEX2DEC(B197)</f>
        <v>16757</v>
      </c>
      <c r="B197" s="24" t="n">
        <v>4175</v>
      </c>
      <c r="C197" s="24" t="n">
        <v>2</v>
      </c>
      <c r="D197" s="25" t="s">
        <v>560</v>
      </c>
      <c r="E197" s="25" t="s">
        <v>16</v>
      </c>
      <c r="F197" s="25" t="n">
        <v>-2</v>
      </c>
      <c r="G197" s="25" t="s">
        <v>383</v>
      </c>
      <c r="H197" s="25" t="s">
        <v>12</v>
      </c>
      <c r="I197" s="49"/>
    </row>
  </sheetData>
  <mergeCells count="23">
    <mergeCell ref="J29:J49"/>
    <mergeCell ref="J50:J64"/>
    <mergeCell ref="J65:J82"/>
    <mergeCell ref="J83:J84"/>
    <mergeCell ref="J85:J91"/>
    <mergeCell ref="J92:J104"/>
    <mergeCell ref="J105:J112"/>
    <mergeCell ref="J118:J121"/>
    <mergeCell ref="J134:J137"/>
    <mergeCell ref="J138:J141"/>
    <mergeCell ref="J142:J145"/>
    <mergeCell ref="J146:J149"/>
    <mergeCell ref="J150:J153"/>
    <mergeCell ref="J154:J157"/>
    <mergeCell ref="J158:J161"/>
    <mergeCell ref="J162:J165"/>
    <mergeCell ref="J166:J169"/>
    <mergeCell ref="J170:J172"/>
    <mergeCell ref="J174:J177"/>
    <mergeCell ref="J178:J181"/>
    <mergeCell ref="J182:J185"/>
    <mergeCell ref="J186:J189"/>
    <mergeCell ref="I190:I19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632</TotalTime>
  <Application>LibreOffice/7.6.6.3$Linux_X86_64 LibreOffice_project/60$Build-3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2024-03-08T13:01:01Z</dcterms:created>
  <dc:creator>Jianmin</dc:creator>
  <dc:description/>
  <dc:language>de-DE</dc:language>
  <cp:lastModifiedBy/>
  <dcterms:modified xsi:type="dcterms:W3CDTF">2024-04-01T10:01:25Z</dcterms:modified>
  <cp:revision>82</cp:revision>
  <dc:subject/>
  <dc:title>主控制器与显示板通讯协议</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2023-01-11T00:00:00Z</vt:filetime>
  </property>
  <property fmtid="{D5CDD505-2E9C-101B-9397-08002B2CF9AE}" pid="3" name="Creator">
    <vt:lpwstr>PDFsam Basic v5.2.2</vt:lpwstr>
  </property>
  <property fmtid="{D5CDD505-2E9C-101B-9397-08002B2CF9AE}" pid="4" name="LastSaved">
    <vt:filetime>2024-03-08T00:00:00Z</vt:filetime>
  </property>
  <property fmtid="{D5CDD505-2E9C-101B-9397-08002B2CF9AE}" pid="5" name="Producer">
    <vt:lpwstr>SAMBox 3.0.6</vt:lpwstr>
  </property>
  <property fmtid="{D5CDD505-2E9C-101B-9397-08002B2CF9AE}" pid="6" name="SourceModified">
    <vt:lpwstr>D:20230111145731+06'57'</vt:lpwstr>
  </property>
</Properties>
</file>